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weet-spot heat map" sheetId="2" state="visible" r:id="rId2"/>
    <sheet xmlns:r="http://schemas.openxmlformats.org/officeDocument/2006/relationships" name="Ranking (hardened)" sheetId="3" state="visible" r:id="rId3"/>
    <sheet xmlns:r="http://schemas.openxmlformats.org/officeDocument/2006/relationships" name="Any-Car Calculator" sheetId="4" state="visible" r:id="rId4"/>
    <sheet xmlns:r="http://schemas.openxmlformats.org/officeDocument/2006/relationships" name="Plot" sheetId="5" state="visible" r:id="rId5"/>
    <sheet xmlns:r="http://schemas.openxmlformats.org/officeDocument/2006/relationships" name="Charts" sheetId="6" state="visible" r:id="rId6"/>
    <sheet xmlns:r="http://schemas.openxmlformats.org/officeDocument/2006/relationships" name="Beyond $ per mile" sheetId="7" state="visible" r:id="rId7"/>
    <sheet xmlns:r="http://schemas.openxmlformats.org/officeDocument/2006/relationships" name="Year Reliability" sheetId="8" state="visible" r:id="rId8"/>
    <sheet xmlns:r="http://schemas.openxmlformats.org/officeDocument/2006/relationships" name="Scenarios by state" sheetId="9" state="visible" r:id="rId9"/>
    <sheet xmlns:r="http://schemas.openxmlformats.org/officeDocument/2006/relationships" name="Model &amp; Method" sheetId="10" state="visible" r:id="rId10"/>
    <sheet xmlns:r="http://schemas.openxmlformats.org/officeDocument/2006/relationships" name="Assumptions" sheetId="11" state="visible" r:id="rId11"/>
    <sheet xmlns:r="http://schemas.openxmlformats.org/officeDocument/2006/relationships" name="Lists" sheetId="12" state="visible" r:id="rId12"/>
    <sheet xmlns:r="http://schemas.openxmlformats.org/officeDocument/2006/relationships" name="Plot data (helper)" sheetId="13" state="visible" r:id="rId13"/>
    <sheet xmlns:r="http://schemas.openxmlformats.org/officeDocument/2006/relationships" name="Charts data (helper)" sheetId="14" state="visible" r:id="rId14"/>
  </sheets>
  <definedNames>
    <definedName name="Buick">Lists!$C$2:$C$3</definedName>
    <definedName name="Chevy">Lists!$C$4:$C$10</definedName>
    <definedName name="Chrysler">Lists!$C$11:$C$12</definedName>
    <definedName name="Fiat">Lists!$C$13:$C$14</definedName>
    <definedName name="Ford">Lists!$C$15:$C$18</definedName>
    <definedName name="Honda">Lists!$C$19:$C$23</definedName>
    <definedName name="Hyundai">Lists!$C$24:$C$29</definedName>
    <definedName name="Jeep">Lists!$C$30:$C$30</definedName>
    <definedName name="Kia">Lists!$C$31:$C$36</definedName>
    <definedName name="Mazda">Lists!$C$37:$C$39</definedName>
    <definedName name="Mini">Lists!$C$40:$C$41</definedName>
    <definedName name="Nissan">Lists!$C$42:$C$43</definedName>
    <definedName name="Porsche">Lists!$C$44:$C$45</definedName>
    <definedName name="Subaru">Lists!$C$46:$C$48</definedName>
    <definedName name="Tesla">Lists!$C$49:$C$49</definedName>
    <definedName name="Toyota">Lists!$C$50:$C$64</definedName>
    <definedName name="VW">Lists!$C$65:$C$69</definedName>
    <definedName name="Volvo">Lists!$C$70:$C$72</definedName>
    <definedName name="MAKES">Lists!$N$2:$N$19</definedName>
    <definedName name="YEARS">Lists!$O$2:$O$23</definedName>
    <definedName name="CARS">Lists!$A$2:$A$72</definedName>
  </definedNames>
  <calcPr calcId="124519" fullCalcOnLoad="1"/>
</workbook>
</file>

<file path=xl/styles.xml><?xml version="1.0" encoding="utf-8"?>
<styleSheet xmlns="http://schemas.openxmlformats.org/spreadsheetml/2006/main">
  <numFmts count="6">
    <numFmt numFmtId="164" formatCode="$#,##0.000"/>
    <numFmt numFmtId="165" formatCode="$0.000"/>
    <numFmt numFmtId="166" formatCode="$#,##0"/>
    <numFmt numFmtId="167" formatCode="0.0"/>
    <numFmt numFmtId="168" formatCode="$0.0000"/>
    <numFmt numFmtId="169" formatCode="$0.00000"/>
  </numFmts>
  <fonts count="13">
    <font>
      <name val="Calibri"/>
      <family val="2"/>
      <color theme="1"/>
      <sz val="11"/>
      <scheme val="minor"/>
    </font>
    <font>
      <name val="Arial"/>
      <b val="1"/>
      <color rgb="00FFFFFF"/>
      <sz val="10"/>
    </font>
    <font>
      <name val="Arial"/>
      <b val="1"/>
      <sz val="10"/>
    </font>
    <font>
      <name val="Arial"/>
      <b val="1"/>
      <color rgb="000000FF"/>
      <sz val="11"/>
    </font>
    <font>
      <name val="Arial"/>
      <i val="1"/>
      <sz val="9"/>
    </font>
    <font>
      <name val="Arial"/>
      <color rgb="000563C1"/>
      <sz val="9"/>
      <u val="single"/>
    </font>
    <font>
      <name val="Arial"/>
      <sz val="10"/>
    </font>
    <font>
      <name val="Arial"/>
      <sz val="9"/>
    </font>
    <font>
      <name val="Arial"/>
      <b val="1"/>
      <color rgb="000563C1"/>
      <sz val="9"/>
      <u val="single"/>
    </font>
    <font>
      <name val="Arial"/>
      <b val="1"/>
      <color rgb="001F3864"/>
      <sz val="11"/>
    </font>
    <font>
      <name val="Arial"/>
      <b val="1"/>
      <color rgb="001F3864"/>
      <sz val="14"/>
    </font>
    <font>
      <name val="Arial"/>
      <b val="1"/>
      <color rgb="00FFFFFF"/>
      <sz val="11"/>
    </font>
    <font>
      <name val="Arial"/>
      <b val="1"/>
      <color rgb="001F3864"/>
      <sz val="10"/>
    </font>
  </fonts>
  <fills count="16">
    <fill>
      <patternFill/>
    </fill>
    <fill>
      <patternFill patternType="gray125"/>
    </fill>
    <fill>
      <patternFill patternType="solid">
        <fgColor rgb="001F3864"/>
      </patternFill>
    </fill>
    <fill>
      <patternFill patternType="solid">
        <fgColor rgb="00FFF2CC"/>
      </patternFill>
    </fill>
    <fill>
      <patternFill patternType="solid">
        <fgColor rgb="002E5496"/>
      </patternFill>
    </fill>
    <fill>
      <patternFill patternType="solid">
        <fgColor rgb="00C6EFCE"/>
      </patternFill>
    </fill>
    <fill>
      <patternFill patternType="solid">
        <fgColor rgb="00F2F2F2"/>
      </patternFill>
    </fill>
    <fill>
      <patternFill patternType="solid">
        <fgColor rgb="00DDEBF7"/>
      </patternFill>
    </fill>
    <fill>
      <patternFill patternType="solid">
        <fgColor rgb="00FCE4D6"/>
      </patternFill>
    </fill>
    <fill>
      <patternFill patternType="solid">
        <fgColor rgb="00D9EAD3"/>
      </patternFill>
    </fill>
    <fill>
      <patternFill patternType="solid">
        <fgColor rgb="00E2EFDA"/>
      </patternFill>
    </fill>
    <fill>
      <patternFill patternType="solid">
        <fgColor rgb="00FCE9D6"/>
      </patternFill>
    </fill>
    <fill>
      <patternFill patternType="solid">
        <fgColor rgb="00F8CBAD"/>
      </patternFill>
    </fill>
    <fill>
      <patternFill patternType="solid">
        <fgColor rgb="00F4B0A0"/>
      </patternFill>
    </fill>
    <fill>
      <patternFill patternType="solid">
        <fgColor rgb="00EA9999"/>
      </patternFill>
    </fill>
    <fill>
      <patternFill patternType="solid">
        <fgColor rgb="00E0666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76">
    <xf numFmtId="0" fontId="0" fillId="0" borderId="0" pivotButton="0" quotePrefix="0" xfId="0"/>
    <xf numFmtId="0" fontId="10" fillId="0" borderId="0" pivotButton="0" quotePrefix="0" xfId="0"/>
    <xf numFmtId="0" fontId="6" fillId="0" borderId="0" applyAlignment="1" pivotButton="0" quotePrefix="0" xfId="0">
      <alignment horizontal="left" vertical="center" wrapText="1"/>
    </xf>
    <xf numFmtId="0" fontId="11" fillId="2" borderId="0" applyAlignment="1" pivotButton="0" quotePrefix="0" xfId="0">
      <alignment horizontal="left" vertical="center" wrapText="1"/>
    </xf>
    <xf numFmtId="0" fontId="12" fillId="0" borderId="0" applyAlignment="1" pivotButton="0" quotePrefix="0" xfId="0">
      <alignment horizontal="left" vertical="center" wrapText="1"/>
    </xf>
    <xf numFmtId="0" fontId="4" fillId="0" borderId="0" pivotButton="0" quotePrefix="0" xfId="0"/>
    <xf numFmtId="0" fontId="1" fillId="2" borderId="0" applyAlignment="1" pivotButton="0" quotePrefix="0" xfId="0">
      <alignment horizontal="left" vertical="center" wrapText="1"/>
    </xf>
    <xf numFmtId="0" fontId="1" fillId="4"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1" applyAlignment="1" pivotButton="0" quotePrefix="0" xfId="0">
      <alignment horizontal="center" vertical="center" wrapText="1"/>
    </xf>
    <xf numFmtId="165" fontId="8"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5" fillId="0" borderId="1" applyAlignment="1" pivotButton="0" quotePrefix="0" xfId="0">
      <alignment horizontal="center" vertical="center" wrapText="1"/>
    </xf>
    <xf numFmtId="165" fontId="2" fillId="0"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2" fillId="0" borderId="0" pivotButton="0" quotePrefix="0" xfId="0"/>
    <xf numFmtId="164" fontId="3" fillId="3" borderId="1" pivotButton="0" quotePrefix="0" xfId="0"/>
    <xf numFmtId="9" fontId="3" fillId="3" borderId="1" pivotButton="0" quotePrefix="0" xfId="0"/>
    <xf numFmtId="0" fontId="6" fillId="7" borderId="1" applyAlignment="1" pivotButton="0" quotePrefix="0" xfId="0">
      <alignment horizontal="left" vertical="center" wrapText="1"/>
    </xf>
    <xf numFmtId="166" fontId="3" fillId="3" borderId="1" applyAlignment="1" pivotButton="0" quotePrefix="0" xfId="0">
      <alignment horizontal="center" vertical="center" wrapText="1"/>
    </xf>
    <xf numFmtId="165" fontId="6" fillId="0" borderId="1" applyAlignment="1" pivotButton="0" quotePrefix="0" xfId="0">
      <alignment horizontal="center" vertical="center" wrapText="1"/>
    </xf>
    <xf numFmtId="166" fontId="6"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5" borderId="1" applyAlignment="1" pivotButton="0" quotePrefix="0" xfId="0">
      <alignment horizontal="left" vertical="center" wrapText="1"/>
    </xf>
    <xf numFmtId="165" fontId="6" fillId="6" borderId="1" applyAlignment="1" pivotButton="0" quotePrefix="0" xfId="0">
      <alignment horizontal="center" vertical="center" wrapText="1"/>
    </xf>
    <xf numFmtId="0" fontId="0" fillId="5" borderId="1" applyAlignment="1" pivotButton="0" quotePrefix="0" xfId="0">
      <alignment horizontal="center" vertical="center" wrapText="1"/>
    </xf>
    <xf numFmtId="9" fontId="6" fillId="0" borderId="1" applyAlignment="1" pivotButton="0" quotePrefix="0" xfId="0">
      <alignment horizontal="center" vertical="center" wrapText="1"/>
    </xf>
    <xf numFmtId="165" fontId="6" fillId="7" borderId="1" applyAlignment="1" pivotButton="0" quotePrefix="0" xfId="0">
      <alignment horizontal="center" vertical="center" wrapText="1"/>
    </xf>
    <xf numFmtId="0" fontId="6" fillId="8" borderId="1" applyAlignment="1" pivotButton="0" quotePrefix="0" xfId="0">
      <alignment horizontal="left" vertical="center" wrapText="1"/>
    </xf>
    <xf numFmtId="0" fontId="6" fillId="3" borderId="1" applyAlignment="1" pivotButton="0" quotePrefix="0" xfId="0">
      <alignment horizontal="left" vertical="center" wrapText="1"/>
    </xf>
    <xf numFmtId="0" fontId="0" fillId="9" borderId="1" applyAlignment="1" pivotButton="0" quotePrefix="0" xfId="0">
      <alignment horizontal="center" vertical="center" wrapText="1"/>
    </xf>
    <xf numFmtId="0" fontId="0" fillId="1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11"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13" borderId="1" applyAlignment="1" pivotButton="0" quotePrefix="0" xfId="0">
      <alignment horizontal="center" vertical="center" wrapText="1"/>
    </xf>
    <xf numFmtId="0" fontId="0" fillId="14" borderId="1" applyAlignment="1" pivotButton="0" quotePrefix="0" xfId="0">
      <alignment horizontal="center" vertical="center" wrapText="1"/>
    </xf>
    <xf numFmtId="0" fontId="0" fillId="15" borderId="1" applyAlignment="1" pivotButton="0" quotePrefix="0" xfId="0">
      <alignment horizontal="center" vertical="center" wrapText="1"/>
    </xf>
    <xf numFmtId="0" fontId="4" fillId="0" borderId="0" applyAlignment="1" pivotButton="0" quotePrefix="0" xfId="0">
      <alignment horizontal="left" vertical="center" wrapText="1"/>
    </xf>
    <xf numFmtId="0" fontId="3" fillId="3" borderId="1" pivotButton="0" quotePrefix="0" xfId="0"/>
    <xf numFmtId="0" fontId="6" fillId="0" borderId="1" pivotButton="0" quotePrefix="0" xfId="0"/>
    <xf numFmtId="165" fontId="6" fillId="0" borderId="1" pivotButton="0" quotePrefix="0" xfId="0"/>
    <xf numFmtId="166" fontId="6" fillId="0" borderId="1" pivotButton="0" quotePrefix="0" xfId="0"/>
    <xf numFmtId="2" fontId="6" fillId="0" borderId="1" pivotButton="0" quotePrefix="0" xfId="0"/>
    <xf numFmtId="166" fontId="3" fillId="3" borderId="1" pivotButton="0" quotePrefix="0" xfId="0"/>
    <xf numFmtId="165" fontId="1" fillId="2" borderId="1" pivotButton="0" quotePrefix="0" xfId="0"/>
    <xf numFmtId="1" fontId="3" fillId="3" borderId="1" pivotButton="0" quotePrefix="0" xfId="0"/>
    <xf numFmtId="3" fontId="3" fillId="3" borderId="1" applyAlignment="1" pivotButton="0" quotePrefix="0" xfId="0">
      <alignment horizontal="center" vertical="center" wrapText="1"/>
    </xf>
    <xf numFmtId="1" fontId="3" fillId="3" borderId="1" applyAlignment="1" pivotButton="0" quotePrefix="0" xfId="0">
      <alignment horizontal="center" vertical="center" wrapText="1"/>
    </xf>
    <xf numFmtId="167" fontId="3" fillId="3" borderId="1" applyAlignment="1" pivotButton="0" quotePrefix="0" xfId="0">
      <alignment horizontal="center" vertical="center" wrapText="1"/>
    </xf>
    <xf numFmtId="165" fontId="3" fillId="3" borderId="1" applyAlignment="1" pivotButton="0" quotePrefix="0" xfId="0">
      <alignment horizontal="center" vertical="center" wrapText="1"/>
    </xf>
    <xf numFmtId="3" fontId="6" fillId="0" borderId="1" applyAlignment="1" pivotButton="0" quotePrefix="0" xfId="0">
      <alignment horizontal="center" vertical="center" wrapText="1"/>
    </xf>
    <xf numFmtId="0" fontId="2" fillId="0" borderId="0" applyAlignment="1" pivotButton="0" quotePrefix="0" xfId="0">
      <alignment horizontal="left" vertical="center" wrapText="1"/>
    </xf>
    <xf numFmtId="0" fontId="0" fillId="0" borderId="4" pivotButton="0" quotePrefix="0" xfId="0"/>
    <xf numFmtId="0" fontId="0" fillId="0" borderId="5" pivotButton="0" quotePrefix="0" xfId="0"/>
    <xf numFmtId="0" fontId="9" fillId="7" borderId="0" applyAlignment="1" pivotButton="0" quotePrefix="0" xfId="0">
      <alignment horizontal="left" vertical="center" wrapText="1"/>
    </xf>
    <xf numFmtId="168" fontId="6" fillId="0" borderId="1" applyAlignment="1" pivotButton="0" quotePrefix="0" xfId="0">
      <alignment horizontal="center" vertical="center" wrapText="1"/>
    </xf>
    <xf numFmtId="169" fontId="6" fillId="0" borderId="1" applyAlignment="1" pivotButton="0" quotePrefix="0" xfId="0">
      <alignment horizontal="center" vertical="center" wrapText="1"/>
    </xf>
    <xf numFmtId="0" fontId="1" fillId="4" borderId="1" applyAlignment="1" pivotButton="0" quotePrefix="0" xfId="0">
      <alignment horizontal="left" vertical="center" wrapText="1"/>
    </xf>
    <xf numFmtId="0" fontId="2" fillId="6" borderId="1" applyAlignment="1" pivotButton="0" quotePrefix="0" xfId="0">
      <alignment horizontal="left" vertical="center" wrapText="1"/>
    </xf>
    <xf numFmtId="0" fontId="4" fillId="0" borderId="0" applyAlignment="1" pivotButton="0" quotePrefix="0" xfId="0">
      <alignment horizontal="left" vertical="top" wrapText="1"/>
    </xf>
    <xf numFmtId="0" fontId="1" fillId="2" borderId="1" applyAlignment="1" pivotButton="0" quotePrefix="0" xfId="0">
      <alignment horizontal="left" vertical="top" wrapText="1"/>
    </xf>
    <xf numFmtId="0" fontId="1" fillId="4" borderId="1" applyAlignment="1" pivotButton="0" quotePrefix="0" xfId="0">
      <alignment horizontal="left" vertical="top" wrapText="1"/>
    </xf>
    <xf numFmtId="0" fontId="2" fillId="6" borderId="1" applyAlignment="1" pivotButton="0" quotePrefix="0" xfId="0">
      <alignment horizontal="left" vertical="top" wrapText="1"/>
    </xf>
    <xf numFmtId="0" fontId="6" fillId="0" borderId="1" applyAlignment="1" pivotButton="0" quotePrefix="0" xfId="0">
      <alignment horizontal="left" vertical="top" wrapText="1"/>
    </xf>
    <xf numFmtId="0" fontId="1" fillId="4"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plotArea>
      <scatterChart>
        <ser>
          <idx val="0"/>
          <order val="0"/>
          <tx>
            <v>Chevy Bolt EV · hatch (~2023)</v>
          </tx>
          <spPr>
            <a:ln xmlns:a="http://schemas.openxmlformats.org/drawingml/2006/main">
              <a:noFill/>
              <a:prstDash val="solid"/>
            </a:ln>
          </spPr>
          <marker>
            <symbol val="diamond"/>
            <size val="8"/>
            <spPr>
              <a:solidFill xmlns:a="http://schemas.openxmlformats.org/drawingml/2006/main">
                <a:srgbClr val="2F7DE1"/>
              </a:solidFill>
              <a:ln xmlns:a="http://schemas.openxmlformats.org/drawingml/2006/main">
                <a:prstDash val="solid"/>
              </a:ln>
            </spPr>
          </marker>
          <xVal>
            <numRef>
              <f>'Plot data (helper)'!$C$6:$C$76</f>
            </numRef>
          </xVal>
          <yVal>
            <numRef>
              <f>'Plot data (helper)'!$U$6:$U$76</f>
            </numRef>
          </yVal>
        </ser>
        <ser>
          <idx val="1"/>
          <order val="1"/>
          <tx>
            <v>Chevy Volt · hatch (~2019)</v>
          </tx>
          <spPr>
            <a:ln xmlns:a="http://schemas.openxmlformats.org/drawingml/2006/main">
              <a:noFill/>
              <a:prstDash val="solid"/>
            </a:ln>
          </spPr>
          <marker>
            <symbol val="diamond"/>
            <size val="8"/>
            <spPr>
              <a:solidFill xmlns:a="http://schemas.openxmlformats.org/drawingml/2006/main">
                <a:srgbClr val="8E44AD"/>
              </a:solidFill>
              <a:ln xmlns:a="http://schemas.openxmlformats.org/drawingml/2006/main">
                <a:prstDash val="solid"/>
              </a:ln>
            </spPr>
          </marker>
          <xVal>
            <numRef>
              <f>'Plot data (helper)'!$C$6:$C$76</f>
            </numRef>
          </xVal>
          <yVal>
            <numRef>
              <f>'Plot data (helper)'!$V$6:$V$76</f>
            </numRef>
          </yVal>
        </ser>
        <ser>
          <idx val="2"/>
          <order val="2"/>
          <tx>
            <v>Toyota Prius (hybrid) · hatch (~2023)</v>
          </tx>
          <spPr>
            <a:ln xmlns:a="http://schemas.openxmlformats.org/drawingml/2006/main">
              <a:noFill/>
              <a:prstDash val="solid"/>
            </a:ln>
          </spPr>
          <marker>
            <symbol val="diamond"/>
            <size val="8"/>
            <spPr>
              <a:solidFill xmlns:a="http://schemas.openxmlformats.org/drawingml/2006/main">
                <a:srgbClr val="2E9E5B"/>
              </a:solidFill>
              <a:ln xmlns:a="http://schemas.openxmlformats.org/drawingml/2006/main">
                <a:prstDash val="solid"/>
              </a:ln>
            </spPr>
          </marker>
          <xVal>
            <numRef>
              <f>'Plot data (helper)'!$C$6:$C$76</f>
            </numRef>
          </xVal>
          <yVal>
            <numRef>
              <f>'Plot data (helper)'!$W$6:$W$76</f>
            </numRef>
          </yVal>
        </ser>
        <ser>
          <idx val="3"/>
          <order val="3"/>
          <tx>
            <v>Toyota Prius Prime · hatch (~2019)</v>
          </tx>
          <spPr>
            <a:ln xmlns:a="http://schemas.openxmlformats.org/drawingml/2006/main">
              <a:noFill/>
              <a:prstDash val="solid"/>
            </a:ln>
          </spPr>
          <marker>
            <symbol val="diamond"/>
            <size val="8"/>
            <spPr>
              <a:solidFill xmlns:a="http://schemas.openxmlformats.org/drawingml/2006/main">
                <a:srgbClr val="8E44AD"/>
              </a:solidFill>
              <a:ln xmlns:a="http://schemas.openxmlformats.org/drawingml/2006/main">
                <a:prstDash val="solid"/>
              </a:ln>
            </spPr>
          </marker>
          <xVal>
            <numRef>
              <f>'Plot data (helper)'!$C$6:$C$76</f>
            </numRef>
          </xVal>
          <yVal>
            <numRef>
              <f>'Plot data (helper)'!$X$6:$X$76</f>
            </numRef>
          </yVal>
        </ser>
        <ser>
          <idx val="4"/>
          <order val="4"/>
          <tx>
            <v>Toyota Corolla · sedan (~2022)</v>
          </tx>
          <spPr>
            <a:ln xmlns:a="http://schemas.openxmlformats.org/drawingml/2006/main">
              <a:noFill/>
              <a:prstDash val="solid"/>
            </a:ln>
          </spPr>
          <marker>
            <symbol val="circle"/>
            <size val="8"/>
            <spPr>
              <a:solidFill xmlns:a="http://schemas.openxmlformats.org/drawingml/2006/main">
                <a:srgbClr val="8A94A6"/>
              </a:solidFill>
              <a:ln xmlns:a="http://schemas.openxmlformats.org/drawingml/2006/main">
                <a:prstDash val="solid"/>
              </a:ln>
            </spPr>
          </marker>
          <xVal>
            <numRef>
              <f>'Plot data (helper)'!$C$6:$C$76</f>
            </numRef>
          </xVal>
          <yVal>
            <numRef>
              <f>'Plot data (helper)'!$Y$6:$Y$76</f>
            </numRef>
          </yVal>
        </ser>
        <ser>
          <idx val="5"/>
          <order val="5"/>
          <tx>
            <v>Toyota Camry Hybrid · sedan (~2020)</v>
          </tx>
          <spPr>
            <a:ln xmlns:a="http://schemas.openxmlformats.org/drawingml/2006/main">
              <a:noFill/>
              <a:prstDash val="solid"/>
            </a:ln>
          </spPr>
          <marker>
            <symbol val="circle"/>
            <size val="8"/>
            <spPr>
              <a:solidFill xmlns:a="http://schemas.openxmlformats.org/drawingml/2006/main">
                <a:srgbClr val="2E9E5B"/>
              </a:solidFill>
              <a:ln xmlns:a="http://schemas.openxmlformats.org/drawingml/2006/main">
                <a:prstDash val="solid"/>
              </a:ln>
            </spPr>
          </marker>
          <xVal>
            <numRef>
              <f>'Plot data (helper)'!$C$6:$C$76</f>
            </numRef>
          </xVal>
          <yVal>
            <numRef>
              <f>'Plot data (helper)'!$Z$6:$Z$76</f>
            </numRef>
          </yVal>
        </ser>
        <ser>
          <idx val="6"/>
          <order val="6"/>
          <tx>
            <v>Honda Civic · sedan (~2023)</v>
          </tx>
          <spPr>
            <a:ln xmlns:a="http://schemas.openxmlformats.org/drawingml/2006/main">
              <a:noFill/>
              <a:prstDash val="solid"/>
            </a:ln>
          </spPr>
          <marker>
            <symbol val="circle"/>
            <size val="8"/>
            <spPr>
              <a:solidFill xmlns:a="http://schemas.openxmlformats.org/drawingml/2006/main">
                <a:srgbClr val="8A94A6"/>
              </a:solidFill>
              <a:ln xmlns:a="http://schemas.openxmlformats.org/drawingml/2006/main">
                <a:prstDash val="solid"/>
              </a:ln>
            </spPr>
          </marker>
          <xVal>
            <numRef>
              <f>'Plot data (helper)'!$C$6:$C$76</f>
            </numRef>
          </xVal>
          <yVal>
            <numRef>
              <f>'Plot data (helper)'!$AA$6:$AA$76</f>
            </numRef>
          </yVal>
        </ser>
        <ser>
          <idx val="7"/>
          <order val="7"/>
          <tx>
            <v>Nissan Leaf · hatch (~2023)</v>
          </tx>
          <spPr>
            <a:ln xmlns:a="http://schemas.openxmlformats.org/drawingml/2006/main">
              <a:noFill/>
              <a:prstDash val="solid"/>
            </a:ln>
          </spPr>
          <marker>
            <symbol val="diamond"/>
            <size val="8"/>
            <spPr>
              <a:solidFill xmlns:a="http://schemas.openxmlformats.org/drawingml/2006/main">
                <a:srgbClr val="2F7DE1"/>
              </a:solidFill>
              <a:ln xmlns:a="http://schemas.openxmlformats.org/drawingml/2006/main">
                <a:prstDash val="solid"/>
              </a:ln>
            </spPr>
          </marker>
          <xVal>
            <numRef>
              <f>'Plot data (helper)'!$C$6:$C$76</f>
            </numRef>
          </xVal>
          <yVal>
            <numRef>
              <f>'Plot data (helper)'!$AB$6:$AB$76</f>
            </numRef>
          </yVal>
        </ser>
        <ser>
          <idx val="8"/>
          <order val="8"/>
          <tx>
            <v>Hyundai Elantra · sedan (~2023)</v>
          </tx>
          <spPr>
            <a:ln xmlns:a="http://schemas.openxmlformats.org/drawingml/2006/main">
              <a:noFill/>
              <a:prstDash val="solid"/>
            </a:ln>
          </spPr>
          <marker>
            <symbol val="circle"/>
            <size val="8"/>
            <spPr>
              <a:solidFill xmlns:a="http://schemas.openxmlformats.org/drawingml/2006/main">
                <a:srgbClr val="8A94A6"/>
              </a:solidFill>
              <a:ln xmlns:a="http://schemas.openxmlformats.org/drawingml/2006/main">
                <a:prstDash val="solid"/>
              </a:ln>
            </spPr>
          </marker>
          <xVal>
            <numRef>
              <f>'Plot data (helper)'!$C$6:$C$76</f>
            </numRef>
          </xVal>
          <yVal>
            <numRef>
              <f>'Plot data (helper)'!$AC$6:$AC$76</f>
            </numRef>
          </yVal>
        </ser>
        <ser>
          <idx val="9"/>
          <order val="9"/>
          <tx>
            <v>Honda Accord · sedan (~2021)</v>
          </tx>
          <spPr>
            <a:ln xmlns:a="http://schemas.openxmlformats.org/drawingml/2006/main">
              <a:noFill/>
              <a:prstDash val="solid"/>
            </a:ln>
          </spPr>
          <marker>
            <symbol val="circle"/>
            <size val="8"/>
            <spPr>
              <a:solidFill xmlns:a="http://schemas.openxmlformats.org/drawingml/2006/main">
                <a:srgbClr val="8A94A6"/>
              </a:solidFill>
              <a:ln xmlns:a="http://schemas.openxmlformats.org/drawingml/2006/main">
                <a:prstDash val="solid"/>
              </a:ln>
            </spPr>
          </marker>
          <xVal>
            <numRef>
              <f>'Plot data (helper)'!$C$6:$C$76</f>
            </numRef>
          </xVal>
          <yVal>
            <numRef>
              <f>'Plot data (helper)'!$AD$6:$AD$76</f>
            </numRef>
          </yVal>
        </ser>
        <ser>
          <idx val="10"/>
          <order val="10"/>
          <tx>
            <v>Kia K4 · sedan (~2025)</v>
          </tx>
          <spPr>
            <a:ln xmlns:a="http://schemas.openxmlformats.org/drawingml/2006/main">
              <a:noFill/>
              <a:prstDash val="solid"/>
            </a:ln>
          </spPr>
          <marker>
            <symbol val="circle"/>
            <size val="8"/>
            <spPr>
              <a:solidFill xmlns:a="http://schemas.openxmlformats.org/drawingml/2006/main">
                <a:srgbClr val="8A94A6"/>
              </a:solidFill>
              <a:ln xmlns:a="http://schemas.openxmlformats.org/drawingml/2006/main">
                <a:prstDash val="solid"/>
              </a:ln>
            </spPr>
          </marker>
          <xVal>
            <numRef>
              <f>'Plot data (helper)'!$C$6:$C$76</f>
            </numRef>
          </xVal>
          <yVal>
            <numRef>
              <f>'Plot data (helper)'!$AE$6:$AE$76</f>
            </numRef>
          </yVal>
        </ser>
        <ser>
          <idx val="11"/>
          <order val="11"/>
          <tx>
            <v>Mazda3 (SkyActiv) · hatch (~2021)</v>
          </tx>
          <spPr>
            <a:ln xmlns:a="http://schemas.openxmlformats.org/drawingml/2006/main">
              <a:noFill/>
              <a:prstDash val="solid"/>
            </a:ln>
          </spPr>
          <marker>
            <symbol val="diamond"/>
            <size val="8"/>
            <spPr>
              <a:solidFill xmlns:a="http://schemas.openxmlformats.org/drawingml/2006/main">
                <a:srgbClr val="8A94A6"/>
              </a:solidFill>
              <a:ln xmlns:a="http://schemas.openxmlformats.org/drawingml/2006/main">
                <a:prstDash val="solid"/>
              </a:ln>
            </spPr>
          </marker>
          <xVal>
            <numRef>
              <f>'Plot data (helper)'!$C$6:$C$76</f>
            </numRef>
          </xVal>
          <yVal>
            <numRef>
              <f>'Plot data (helper)'!$AF$6:$AF$76</f>
            </numRef>
          </yVal>
        </ser>
        <ser>
          <idx val="12"/>
          <order val="12"/>
          <tx>
            <v>Toyota Camry · sedan (~2022)</v>
          </tx>
          <spPr>
            <a:ln xmlns:a="http://schemas.openxmlformats.org/drawingml/2006/main">
              <a:noFill/>
              <a:prstDash val="solid"/>
            </a:ln>
          </spPr>
          <marker>
            <symbol val="circle"/>
            <size val="8"/>
            <spPr>
              <a:solidFill xmlns:a="http://schemas.openxmlformats.org/drawingml/2006/main">
                <a:srgbClr val="8A94A6"/>
              </a:solidFill>
              <a:ln xmlns:a="http://schemas.openxmlformats.org/drawingml/2006/main">
                <a:prstDash val="solid"/>
              </a:ln>
            </spPr>
          </marker>
          <xVal>
            <numRef>
              <f>'Plot data (helper)'!$C$6:$C$76</f>
            </numRef>
          </xVal>
          <yVal>
            <numRef>
              <f>'Plot data (helper)'!$AG$6:$AG$76</f>
            </numRef>
          </yVal>
        </ser>
        <ser>
          <idx val="13"/>
          <order val="13"/>
          <tx>
            <v>Toyota RAV4 Hybrid · SUV (~2023)</v>
          </tx>
          <spPr>
            <a:ln xmlns:a="http://schemas.openxmlformats.org/drawingml/2006/main">
              <a:noFill/>
              <a:prstDash val="solid"/>
            </a:ln>
          </spPr>
          <marker>
            <symbol val="square"/>
            <size val="8"/>
            <spPr>
              <a:solidFill xmlns:a="http://schemas.openxmlformats.org/drawingml/2006/main">
                <a:srgbClr val="2E9E5B"/>
              </a:solidFill>
              <a:ln xmlns:a="http://schemas.openxmlformats.org/drawingml/2006/main">
                <a:prstDash val="solid"/>
              </a:ln>
            </spPr>
          </marker>
          <xVal>
            <numRef>
              <f>'Plot data (helper)'!$C$6:$C$76</f>
            </numRef>
          </xVal>
          <yVal>
            <numRef>
              <f>'Plot data (helper)'!$AH$6:$AH$76</f>
            </numRef>
          </yVal>
        </ser>
        <ser>
          <idx val="14"/>
          <order val="14"/>
          <tx>
            <v>Kia Niro (hybrid) · SUV (~2021)</v>
          </tx>
          <spPr>
            <a:ln xmlns:a="http://schemas.openxmlformats.org/drawingml/2006/main">
              <a:noFill/>
              <a:prstDash val="solid"/>
            </a:ln>
          </spPr>
          <marker>
            <symbol val="square"/>
            <size val="8"/>
            <spPr>
              <a:solidFill xmlns:a="http://schemas.openxmlformats.org/drawingml/2006/main">
                <a:srgbClr val="2E9E5B"/>
              </a:solidFill>
              <a:ln xmlns:a="http://schemas.openxmlformats.org/drawingml/2006/main">
                <a:prstDash val="solid"/>
              </a:ln>
            </spPr>
          </marker>
          <xVal>
            <numRef>
              <f>'Plot data (helper)'!$C$6:$C$76</f>
            </numRef>
          </xVal>
          <yVal>
            <numRef>
              <f>'Plot data (helper)'!$AI$6:$AI$76</f>
            </numRef>
          </yVal>
        </ser>
        <ser>
          <idx val="15"/>
          <order val="15"/>
          <tx>
            <v>Tesla Model 3 · sedan (~2021)</v>
          </tx>
          <spPr>
            <a:ln xmlns:a="http://schemas.openxmlformats.org/drawingml/2006/main">
              <a:noFill/>
              <a:prstDash val="solid"/>
            </a:ln>
          </spPr>
          <marker>
            <symbol val="circle"/>
            <size val="8"/>
            <spPr>
              <a:solidFill xmlns:a="http://schemas.openxmlformats.org/drawingml/2006/main">
                <a:srgbClr val="2F7DE1"/>
              </a:solidFill>
              <a:ln xmlns:a="http://schemas.openxmlformats.org/drawingml/2006/main">
                <a:prstDash val="solid"/>
              </a:ln>
            </spPr>
          </marker>
          <xVal>
            <numRef>
              <f>'Plot data (helper)'!$C$6:$C$76</f>
            </numRef>
          </xVal>
          <yVal>
            <numRef>
              <f>'Plot data (helper)'!$AJ$6:$AJ$76</f>
            </numRef>
          </yVal>
        </ser>
        <ser>
          <idx val="16"/>
          <order val="16"/>
          <tx>
            <v>Hyundai Sonata · sedan (~2021)</v>
          </tx>
          <spPr>
            <a:ln xmlns:a="http://schemas.openxmlformats.org/drawingml/2006/main">
              <a:noFill/>
              <a:prstDash val="solid"/>
            </a:ln>
          </spPr>
          <marker>
            <symbol val="circle"/>
            <size val="8"/>
            <spPr>
              <a:solidFill xmlns:a="http://schemas.openxmlformats.org/drawingml/2006/main">
                <a:srgbClr val="8A94A6"/>
              </a:solidFill>
              <a:ln xmlns:a="http://schemas.openxmlformats.org/drawingml/2006/main">
                <a:prstDash val="solid"/>
              </a:ln>
            </spPr>
          </marker>
          <xVal>
            <numRef>
              <f>'Plot data (helper)'!$C$6:$C$76</f>
            </numRef>
          </xVal>
          <yVal>
            <numRef>
              <f>'Plot data (helper)'!$AK$6:$AK$76</f>
            </numRef>
          </yVal>
        </ser>
        <ser>
          <idx val="17"/>
          <order val="17"/>
          <tx>
            <v>Toyota RAV4 · SUV (~2020)</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(helper)'!$AL$6:$AL$76</f>
            </numRef>
          </yVal>
        </ser>
        <ser>
          <idx val="18"/>
          <order val="18"/>
          <tx>
            <v>Fiat 500 · hatch (~2019)</v>
          </tx>
          <spPr>
            <a:ln xmlns:a="http://schemas.openxmlformats.org/drawingml/2006/main">
              <a:noFill/>
              <a:prstDash val="solid"/>
            </a:ln>
          </spPr>
          <marker>
            <symbol val="diamond"/>
            <size val="8"/>
            <spPr>
              <a:solidFill xmlns:a="http://schemas.openxmlformats.org/drawingml/2006/main">
                <a:srgbClr val="8A94A6"/>
              </a:solidFill>
              <a:ln xmlns:a="http://schemas.openxmlformats.org/drawingml/2006/main">
                <a:prstDash val="solid"/>
              </a:ln>
            </spPr>
          </marker>
          <xVal>
            <numRef>
              <f>'Plot data (helper)'!$C$6:$C$76</f>
            </numRef>
          </xVal>
          <yVal>
            <numRef>
              <f>'Plot data (helper)'!$AM$6:$AM$76</f>
            </numRef>
          </yVal>
        </ser>
        <ser>
          <idx val="19"/>
          <order val="19"/>
          <tx>
            <v>Honda CR-V · SUV (~2020)</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(helper)'!$AN$6:$AN$76</f>
            </numRef>
          </yVal>
        </ser>
        <ser>
          <idx val="20"/>
          <order val="20"/>
          <tx>
            <v>VW ID.4 (AWD avail) · SUV (~2023)</v>
          </tx>
          <spPr>
            <a:ln xmlns:a="http://schemas.openxmlformats.org/drawingml/2006/main">
              <a:noFill/>
              <a:prstDash val="solid"/>
            </a:ln>
          </spPr>
          <marker>
            <symbol val="square"/>
            <size val="8"/>
            <spPr>
              <a:solidFill xmlns:a="http://schemas.openxmlformats.org/drawingml/2006/main">
                <a:srgbClr val="2F7DE1"/>
              </a:solidFill>
              <a:ln xmlns:a="http://schemas.openxmlformats.org/drawingml/2006/main">
                <a:prstDash val="solid"/>
              </a:ln>
            </spPr>
          </marker>
          <xVal>
            <numRef>
              <f>'Plot data (helper)'!$C$6:$C$76</f>
            </numRef>
          </xVal>
          <yVal>
            <numRef>
              <f>'Plot data (helper)'!$AO$6:$AO$76</f>
            </numRef>
          </yVal>
        </ser>
        <ser>
          <idx val="21"/>
          <order val="21"/>
          <tx>
            <v>Toyota RAV4 Prime · SUV (~2022)</v>
          </tx>
          <spPr>
            <a:ln xmlns:a="http://schemas.openxmlformats.org/drawingml/2006/main">
              <a:noFill/>
              <a:prstDash val="solid"/>
            </a:ln>
          </spPr>
          <marker>
            <symbol val="square"/>
            <size val="8"/>
            <spPr>
              <a:solidFill xmlns:a="http://schemas.openxmlformats.org/drawingml/2006/main">
                <a:srgbClr val="8E44AD"/>
              </a:solidFill>
              <a:ln xmlns:a="http://schemas.openxmlformats.org/drawingml/2006/main">
                <a:prstDash val="solid"/>
              </a:ln>
            </spPr>
          </marker>
          <xVal>
            <numRef>
              <f>'Plot data (helper)'!$C$6:$C$76</f>
            </numRef>
          </xVal>
          <yVal>
            <numRef>
              <f>'Plot data (helper)'!$AP$6:$AP$76</f>
            </numRef>
          </yVal>
        </ser>
        <ser>
          <idx val="22"/>
          <order val="22"/>
          <tx>
            <v>Kia Soul · SUV (~2021)</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(helper)'!$AQ$6:$AQ$76</f>
            </numRef>
          </yVal>
        </ser>
        <ser>
          <idx val="23"/>
          <order val="23"/>
          <tx>
            <v>VW Passat · sedan (~2022)</v>
          </tx>
          <spPr>
            <a:ln xmlns:a="http://schemas.openxmlformats.org/drawingml/2006/main">
              <a:noFill/>
              <a:prstDash val="solid"/>
            </a:ln>
          </spPr>
          <marker>
            <symbol val="circle"/>
            <size val="8"/>
            <spPr>
              <a:solidFill xmlns:a="http://schemas.openxmlformats.org/drawingml/2006/main">
                <a:srgbClr val="8A94A6"/>
              </a:solidFill>
              <a:ln xmlns:a="http://schemas.openxmlformats.org/drawingml/2006/main">
                <a:prstDash val="solid"/>
              </a:ln>
            </spPr>
          </marker>
          <xVal>
            <numRef>
              <f>'Plot data (helper)'!$C$6:$C$76</f>
            </numRef>
          </xVal>
          <yVal>
            <numRef>
              <f>'Plot data (helper)'!$AR$6:$AR$76</f>
            </numRef>
          </yVal>
        </ser>
        <ser>
          <idx val="24"/>
          <order val="24"/>
          <tx>
            <v>Buick Encore · SUV (~2022)</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(helper)'!$AS$6:$AS$76</f>
            </numRef>
          </yVal>
        </ser>
        <ser>
          <idx val="25"/>
          <order val="25"/>
          <tx>
            <v>Hyundai Kona · SUV (~2021)</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(helper)'!$AT$6:$AT$76</f>
            </numRef>
          </yVal>
        </ser>
        <ser>
          <idx val="26"/>
          <order val="26"/>
          <tx>
            <v>Mazda CX-5 · SUV (~2021)</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(helper)'!$AU$6:$AU$76</f>
            </numRef>
          </yVal>
        </ser>
        <ser>
          <idx val="27"/>
          <order val="27"/>
          <tx>
            <v>Toyota Highlander Hybrid · SUV (~2021)</v>
          </tx>
          <spPr>
            <a:ln xmlns:a="http://schemas.openxmlformats.org/drawingml/2006/main">
              <a:noFill/>
              <a:prstDash val="solid"/>
            </a:ln>
          </spPr>
          <marker>
            <symbol val="square"/>
            <size val="8"/>
            <spPr>
              <a:solidFill xmlns:a="http://schemas.openxmlformats.org/drawingml/2006/main">
                <a:srgbClr val="2E9E5B"/>
              </a:solidFill>
              <a:ln xmlns:a="http://schemas.openxmlformats.org/drawingml/2006/main">
                <a:prstDash val="solid"/>
              </a:ln>
            </spPr>
          </marker>
          <xVal>
            <numRef>
              <f>'Plot data (helper)'!$C$6:$C$76</f>
            </numRef>
          </xVal>
          <yVal>
            <numRef>
              <f>'Plot data (helper)'!$AV$6:$AV$76</f>
            </numRef>
          </yVal>
        </ser>
        <ser>
          <idx val="28"/>
          <order val="28"/>
          <tx>
            <v>Subaru Outback · SUV (~2020)</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(helper)'!$AW$6:$AW$76</f>
            </numRef>
          </yVal>
        </ser>
        <ser>
          <idx val="29"/>
          <order val="29"/>
          <tx>
            <v>Subaru Forester · SUV (~2022)</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(helper)'!$AX$6:$AX$76</f>
            </numRef>
          </yVal>
        </ser>
        <ser>
          <idx val="30"/>
          <order val="30"/>
          <tx>
            <v>Toyota Sienna Hybrid · van (~2022)</v>
          </tx>
          <spPr>
            <a:ln xmlns:a="http://schemas.openxmlformats.org/drawingml/2006/main">
              <a:noFill/>
              <a:prstDash val="solid"/>
            </a:ln>
          </spPr>
          <marker>
            <symbol val="star"/>
            <size val="8"/>
            <spPr>
              <a:solidFill xmlns:a="http://schemas.openxmlformats.org/drawingml/2006/main">
                <a:srgbClr val="2E9E5B"/>
              </a:solidFill>
              <a:ln xmlns:a="http://schemas.openxmlformats.org/drawingml/2006/main">
                <a:prstDash val="solid"/>
              </a:ln>
            </spPr>
          </marker>
          <xVal>
            <numRef>
              <f>'Plot data (helper)'!$C$6:$C$76</f>
            </numRef>
          </xVal>
          <yVal>
            <numRef>
              <f>'Plot data (helper)'!$AY$6:$AY$76</f>
            </numRef>
          </yVal>
        </ser>
        <ser>
          <idx val="31"/>
          <order val="31"/>
          <tx>
            <v>Toyota Tacoma · truck (~2020)</v>
          </tx>
          <spPr>
            <a:ln xmlns:a="http://schemas.openxmlformats.org/drawingml/2006/main">
              <a:noFill/>
              <a:prstDash val="solid"/>
            </a:ln>
          </spPr>
          <marker>
            <symbol val="triangle"/>
            <size val="8"/>
            <spPr>
              <a:solidFill xmlns:a="http://schemas.openxmlformats.org/drawingml/2006/main">
                <a:srgbClr val="8A94A6"/>
              </a:solidFill>
              <a:ln xmlns:a="http://schemas.openxmlformats.org/drawingml/2006/main">
                <a:prstDash val="solid"/>
              </a:ln>
            </spPr>
          </marker>
          <xVal>
            <numRef>
              <f>'Plot data (helper)'!$C$6:$C$76</f>
            </numRef>
          </xVal>
          <yVal>
            <numRef>
              <f>'Plot data (helper)'!$AZ$6:$AZ$76</f>
            </numRef>
          </yVal>
        </ser>
        <ser>
          <idx val="32"/>
          <order val="32"/>
          <tx>
            <v>Nissan Rogue · SUV (~2022)</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(helper)'!$BA$6:$BA$76</f>
            </numRef>
          </yVal>
        </ser>
        <ser>
          <idx val="33"/>
          <order val="33"/>
          <tx>
            <v>Chevy Equinox · SUV (~2022)</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(helper)'!$BB$6:$BB$76</f>
            </numRef>
          </yVal>
        </ser>
        <ser>
          <idx val="34"/>
          <order val="34"/>
          <tx>
            <v>Toyota Sienna (V6) · van (~2020)</v>
          </tx>
          <spPr>
            <a:ln xmlns:a="http://schemas.openxmlformats.org/drawingml/2006/main">
              <a:noFill/>
              <a:prstDash val="solid"/>
            </a:ln>
          </spPr>
          <marker>
            <symbol val="star"/>
            <size val="8"/>
            <spPr>
              <a:solidFill xmlns:a="http://schemas.openxmlformats.org/drawingml/2006/main">
                <a:srgbClr val="8A94A6"/>
              </a:solidFill>
              <a:ln xmlns:a="http://schemas.openxmlformats.org/drawingml/2006/main">
                <a:prstDash val="solid"/>
              </a:ln>
            </spPr>
          </marker>
          <xVal>
            <numRef>
              <f>'Plot data (helper)'!$C$6:$C$76</f>
            </numRef>
          </xVal>
          <yVal>
            <numRef>
              <f>'Plot data (helper)'!$BC$6:$BC$76</f>
            </numRef>
          </yVal>
        </ser>
        <ser>
          <idx val="35"/>
          <order val="35"/>
          <tx>
            <v>Mini Cooper · hatch (~2023)</v>
          </tx>
          <spPr>
            <a:ln xmlns:a="http://schemas.openxmlformats.org/drawingml/2006/main">
              <a:noFill/>
              <a:prstDash val="solid"/>
            </a:ln>
          </spPr>
          <marker>
            <symbol val="diamond"/>
            <size val="8"/>
            <spPr>
              <a:solidFill xmlns:a="http://schemas.openxmlformats.org/drawingml/2006/main">
                <a:srgbClr val="8A94A6"/>
              </a:solidFill>
              <a:ln xmlns:a="http://schemas.openxmlformats.org/drawingml/2006/main">
                <a:prstDash val="solid"/>
              </a:ln>
            </spPr>
          </marker>
          <xVal>
            <numRef>
              <f>'Plot data (helper)'!$C$6:$C$76</f>
            </numRef>
          </xVal>
          <yVal>
            <numRef>
              <f>'Plot data (helper)'!$BD$6:$BD$76</f>
            </numRef>
          </yVal>
        </ser>
        <ser>
          <idx val="36"/>
          <order val="36"/>
          <tx>
            <v>Ford Ranger (old compact) · truck (~2011)</v>
          </tx>
          <spPr>
            <a:ln xmlns:a="http://schemas.openxmlformats.org/drawingml/2006/main">
              <a:noFill/>
              <a:prstDash val="solid"/>
            </a:ln>
          </spPr>
          <marker>
            <symbol val="triangle"/>
            <size val="8"/>
            <spPr>
              <a:solidFill xmlns:a="http://schemas.openxmlformats.org/drawingml/2006/main">
                <a:srgbClr val="8A94A6"/>
              </a:solidFill>
              <a:ln xmlns:a="http://schemas.openxmlformats.org/drawingml/2006/main">
                <a:prstDash val="solid"/>
              </a:ln>
            </spPr>
          </marker>
          <xVal>
            <numRef>
              <f>'Plot data (helper)'!$C$6:$C$76</f>
            </numRef>
          </xVal>
          <yVal>
            <numRef>
              <f>'Plot data (helper)'!$BE$6:$BE$76</f>
            </numRef>
          </yVal>
        </ser>
        <ser>
          <idx val="37"/>
          <order val="37"/>
          <tx>
            <v>Fiat 500X · SUV (~2023)</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(helper)'!$BF$6:$BF$76</f>
            </numRef>
          </yVal>
        </ser>
        <ser>
          <idx val="38"/>
          <order val="38"/>
          <tx>
            <v>VW GTI · hatch (~2021)</v>
          </tx>
          <spPr>
            <a:ln xmlns:a="http://schemas.openxmlformats.org/drawingml/2006/main">
              <a:noFill/>
              <a:prstDash val="solid"/>
            </a:ln>
          </spPr>
          <marker>
            <symbol val="diamond"/>
            <size val="8"/>
            <spPr>
              <a:solidFill xmlns:a="http://schemas.openxmlformats.org/drawingml/2006/main">
                <a:srgbClr val="8A94A6"/>
              </a:solidFill>
              <a:ln xmlns:a="http://schemas.openxmlformats.org/drawingml/2006/main">
                <a:prstDash val="solid"/>
              </a:ln>
            </spPr>
          </marker>
          <xVal>
            <numRef>
              <f>'Plot data (helper)'!$C$6:$C$76</f>
            </numRef>
          </xVal>
          <yVal>
            <numRef>
              <f>'Plot data (helper)'!$BG$6:$BG$76</f>
            </numRef>
          </yVal>
        </ser>
        <ser>
          <idx val="39"/>
          <order val="39"/>
          <tx>
            <v>Kia Sportage · SUV (~2020)</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(helper)'!$BH$6:$BH$76</f>
            </numRef>
          </yVal>
        </ser>
        <ser>
          <idx val="40"/>
          <order val="40"/>
          <tx>
            <v>Ford Escape · SUV (~2021)</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(helper)'!$BI$6:$BI$76</f>
            </numRef>
          </yVal>
        </ser>
        <ser>
          <idx val="41"/>
          <order val="41"/>
          <tx>
            <v>Toyota Highlander · SUV (~2019)</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(helper)'!$BJ$6:$BJ$76</f>
            </numRef>
          </yVal>
        </ser>
        <ser>
          <idx val="42"/>
          <order val="42"/>
          <tx>
            <v>Hyundai Tucson · SUV (~2022)</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(helper)'!$BK$6:$BK$76</f>
            </numRef>
          </yVal>
        </ser>
        <ser>
          <idx val="43"/>
          <order val="43"/>
          <tx>
            <v>Toyota 4Runner · SUV (~2021)</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(helper)'!$BL$6:$BL$76</f>
            </numRef>
          </yVal>
        </ser>
        <ser>
          <idx val="44"/>
          <order val="44"/>
          <tx>
            <v>Honda Odyssey · van (~2020)</v>
          </tx>
          <spPr>
            <a:ln xmlns:a="http://schemas.openxmlformats.org/drawingml/2006/main">
              <a:noFill/>
              <a:prstDash val="solid"/>
            </a:ln>
          </spPr>
          <marker>
            <symbol val="star"/>
            <size val="8"/>
            <spPr>
              <a:solidFill xmlns:a="http://schemas.openxmlformats.org/drawingml/2006/main">
                <a:srgbClr val="8A94A6"/>
              </a:solidFill>
              <a:ln xmlns:a="http://schemas.openxmlformats.org/drawingml/2006/main">
                <a:prstDash val="solid"/>
              </a:ln>
            </spPr>
          </marker>
          <xVal>
            <numRef>
              <f>'Plot data (helper)'!$C$6:$C$76</f>
            </numRef>
          </xVal>
          <yVal>
            <numRef>
              <f>'Plot data (helper)'!$BM$6:$BM$76</f>
            </numRef>
          </yVal>
        </ser>
        <ser>
          <idx val="45"/>
          <order val="45"/>
          <tx>
            <v>Kia Sorento · SUV (~2020)</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(helper)'!$BN$6:$BN$76</f>
            </numRef>
          </yVal>
        </ser>
        <ser>
          <idx val="46"/>
          <order val="46"/>
          <tx>
            <v>Hyundai Santa Fe · SUV (~2020)</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(helper)'!$BO$6:$BO$76</f>
            </numRef>
          </yVal>
        </ser>
        <ser>
          <idx val="47"/>
          <order val="47"/>
          <tx>
            <v>VW Tiguan · SUV (~2021)</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(helper)'!$BP$6:$BP$76</f>
            </numRef>
          </yVal>
        </ser>
        <ser>
          <idx val="48"/>
          <order val="48"/>
          <tx>
            <v>Chrysler Pacifica PHEV · van (~2021)</v>
          </tx>
          <spPr>
            <a:ln xmlns:a="http://schemas.openxmlformats.org/drawingml/2006/main">
              <a:noFill/>
              <a:prstDash val="solid"/>
            </a:ln>
          </spPr>
          <marker>
            <symbol val="star"/>
            <size val="8"/>
            <spPr>
              <a:solidFill xmlns:a="http://schemas.openxmlformats.org/drawingml/2006/main">
                <a:srgbClr val="8E44AD"/>
              </a:solidFill>
              <a:ln xmlns:a="http://schemas.openxmlformats.org/drawingml/2006/main">
                <a:prstDash val="solid"/>
              </a:ln>
            </spPr>
          </marker>
          <xVal>
            <numRef>
              <f>'Plot data (helper)'!$C$6:$C$76</f>
            </numRef>
          </xVal>
          <yVal>
            <numRef>
              <f>'Plot data (helper)'!$BQ$6:$BQ$76</f>
            </numRef>
          </yVal>
        </ser>
        <ser>
          <idx val="49"/>
          <order val="49"/>
          <tx>
            <v>Subaru Ascent · SUV (~2022)</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(helper)'!$BR$6:$BR$76</f>
            </numRef>
          </yVal>
        </ser>
        <ser>
          <idx val="50"/>
          <order val="50"/>
          <tx>
            <v>Ford Ranger (2019+ midsize) · truck (~2022)</v>
          </tx>
          <spPr>
            <a:ln xmlns:a="http://schemas.openxmlformats.org/drawingml/2006/main">
              <a:noFill/>
              <a:prstDash val="solid"/>
            </a:ln>
          </spPr>
          <marker>
            <symbol val="triangle"/>
            <size val="8"/>
            <spPr>
              <a:solidFill xmlns:a="http://schemas.openxmlformats.org/drawingml/2006/main">
                <a:srgbClr val="8A94A6"/>
              </a:solidFill>
              <a:ln xmlns:a="http://schemas.openxmlformats.org/drawingml/2006/main">
                <a:prstDash val="solid"/>
              </a:ln>
            </spPr>
          </marker>
          <xVal>
            <numRef>
              <f>'Plot data (helper)'!$C$6:$C$76</f>
            </numRef>
          </xVal>
          <yVal>
            <numRef>
              <f>'Plot data (helper)'!$BS$6:$BS$76</f>
            </numRef>
          </yVal>
        </ser>
        <ser>
          <idx val="51"/>
          <order val="51"/>
          <tx>
            <v>Honda Pilot · SUV (~2019)</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(helper)'!$BT$6:$BT$76</f>
            </numRef>
          </yVal>
        </ser>
        <ser>
          <idx val="52"/>
          <order val="52"/>
          <tx>
            <v>Mini Countryman · SUV (~2022)</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(helper)'!$BU$6:$BU$76</f>
            </numRef>
          </yVal>
        </ser>
        <ser>
          <idx val="53"/>
          <order val="53"/>
          <tx>
            <v>Toyota Sequoia · SUV (~2020)</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(helper)'!$BV$6:$BV$76</f>
            </numRef>
          </yVal>
        </ser>
        <ser>
          <idx val="54"/>
          <order val="54"/>
          <tx>
            <v>Hyundai Palisade · SUV (~2023)</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(helper)'!$BW$6:$BW$76</f>
            </numRef>
          </yVal>
        </ser>
        <ser>
          <idx val="55"/>
          <order val="55"/>
          <tx>
            <v>Chrysler Pacifica · van (~2020)</v>
          </tx>
          <spPr>
            <a:ln xmlns:a="http://schemas.openxmlformats.org/drawingml/2006/main">
              <a:noFill/>
              <a:prstDash val="solid"/>
            </a:ln>
          </spPr>
          <marker>
            <symbol val="star"/>
            <size val="8"/>
            <spPr>
              <a:solidFill xmlns:a="http://schemas.openxmlformats.org/drawingml/2006/main">
                <a:srgbClr val="8A94A6"/>
              </a:solidFill>
              <a:ln xmlns:a="http://schemas.openxmlformats.org/drawingml/2006/main">
                <a:prstDash val="solid"/>
              </a:ln>
            </spPr>
          </marker>
          <xVal>
            <numRef>
              <f>'Plot data (helper)'!$C$6:$C$76</f>
            </numRef>
          </xVal>
          <yVal>
            <numRef>
              <f>'Plot data (helper)'!$BX$6:$BX$76</f>
            </numRef>
          </yVal>
        </ser>
        <ser>
          <idx val="56"/>
          <order val="56"/>
          <tx>
            <v>Chevy Colorado · truck (~2021)</v>
          </tx>
          <spPr>
            <a:ln xmlns:a="http://schemas.openxmlformats.org/drawingml/2006/main">
              <a:noFill/>
              <a:prstDash val="solid"/>
            </a:ln>
          </spPr>
          <marker>
            <symbol val="triangle"/>
            <size val="8"/>
            <spPr>
              <a:solidFill xmlns:a="http://schemas.openxmlformats.org/drawingml/2006/main">
                <a:srgbClr val="8A94A6"/>
              </a:solidFill>
              <a:ln xmlns:a="http://schemas.openxmlformats.org/drawingml/2006/main">
                <a:prstDash val="solid"/>
              </a:ln>
            </spPr>
          </marker>
          <xVal>
            <numRef>
              <f>'Plot data (helper)'!$C$6:$C$76</f>
            </numRef>
          </xVal>
          <yVal>
            <numRef>
              <f>'Plot data (helper)'!$BY$6:$BY$76</f>
            </numRef>
          </yVal>
        </ser>
        <ser>
          <idx val="57"/>
          <order val="57"/>
          <tx>
            <v>Kia Telluride · SUV (~2023)</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(helper)'!$BZ$6:$BZ$76</f>
            </numRef>
          </yVal>
        </ser>
        <ser>
          <idx val="58"/>
          <order val="58"/>
          <tx>
            <v>Mazda CX-90 · SUV (~2024)</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(helper)'!$CA$6:$CA$76</f>
            </numRef>
          </yVal>
        </ser>
        <ser>
          <idx val="59"/>
          <order val="59"/>
          <tx>
            <v>Chevy Traverse · SUV (~2021)</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(helper)'!$CB$6:$CB$76</f>
            </numRef>
          </yVal>
        </ser>
        <ser>
          <idx val="60"/>
          <order val="60"/>
          <tx>
            <v>VW Atlas · SUV (~2021)</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(helper)'!$CC$6:$CC$76</f>
            </numRef>
          </yVal>
        </ser>
        <ser>
          <idx val="61"/>
          <order val="61"/>
          <tx>
            <v>Ford Explorer · SUV (~2021)</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(helper)'!$CD$6:$CD$76</f>
            </numRef>
          </yVal>
        </ser>
        <ser>
          <idx val="62"/>
          <order val="62"/>
          <tx>
            <v>Buick Enclave · SUV (~2019)</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(helper)'!$CE$6:$CE$76</f>
            </numRef>
          </yVal>
        </ser>
        <ser>
          <idx val="63"/>
          <order val="63"/>
          <tx>
            <v>Volvo XC60 · SUV (~2021)</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(helper)'!$CF$6:$CF$76</f>
            </numRef>
          </yVal>
        </ser>
        <ser>
          <idx val="64"/>
          <order val="64"/>
          <tx>
            <v>Chevy Tahoe · SUV (~2022)</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(helper)'!$CG$6:$CG$76</f>
            </numRef>
          </yVal>
        </ser>
        <ser>
          <idx val="65"/>
          <order val="65"/>
          <tx>
            <v>Jeep Grand Cherokee L · SUV (~2022)</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(helper)'!$CH$6:$CH$76</f>
            </numRef>
          </yVal>
        </ser>
        <ser>
          <idx val="66"/>
          <order val="66"/>
          <tx>
            <v>Volvo V90 Cross Country · SUV (~2021)</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(helper)'!$CI$6:$CI$76</f>
            </numRef>
          </yVal>
        </ser>
        <ser>
          <idx val="67"/>
          <order val="67"/>
          <tx>
            <v>Chevy Suburban · SUV (~2022)</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(helper)'!$CJ$6:$CJ$76</f>
            </numRef>
          </yVal>
        </ser>
        <ser>
          <idx val="68"/>
          <order val="68"/>
          <tx>
            <v>Volvo XC90 · SUV (~2021)</v>
          </tx>
          <spPr>
            <a:ln xmlns:a="http://schemas.openxmlformats.org/drawingml/2006/main">
              <a:noFill/>
              <a:prstDash val="solid"/>
            </a:ln>
          </spPr>
          <marker>
            <symbol val="square"/>
            <size val="8"/>
            <spPr>
              <a:solidFill xmlns:a="http://schemas.openxmlformats.org/drawingml/2006/main">
                <a:srgbClr val="8A94A6"/>
              </a:solidFill>
              <a:ln xmlns:a="http://schemas.openxmlformats.org/drawingml/2006/main">
                <a:prstDash val="solid"/>
              </a:ln>
            </spPr>
          </marker>
          <xVal>
            <numRef>
              <f>'Plot data (helper)'!$C$6:$C$76</f>
            </numRef>
          </xVal>
          <yVal>
            <numRef>
              <f>'Plot data (helper)'!$CK$6:$CK$76</f>
            </numRef>
          </yVal>
        </ser>
        <ser>
          <idx val="69"/>
          <order val="69"/>
          <tx>
            <v>Porsche 996 Carrera · sport (~2004)</v>
          </tx>
          <spPr>
            <a:ln xmlns:a="http://schemas.openxmlformats.org/drawingml/2006/main">
              <a:noFill/>
              <a:prstDash val="solid"/>
            </a:ln>
          </spPr>
          <marker>
            <symbol val="x"/>
            <size val="8"/>
            <spPr>
              <a:solidFill xmlns:a="http://schemas.openxmlformats.org/drawingml/2006/main">
                <a:srgbClr val="8A94A6"/>
              </a:solidFill>
              <a:ln xmlns:a="http://schemas.openxmlformats.org/drawingml/2006/main">
                <a:prstDash val="solid"/>
              </a:ln>
            </spPr>
          </marker>
          <xVal>
            <numRef>
              <f>'Plot data (helper)'!$C$6:$C$76</f>
            </numRef>
          </xVal>
          <yVal>
            <numRef>
              <f>'Plot data (helper)'!$CL$6:$CL$76</f>
            </numRef>
          </yVal>
        </ser>
        <ser>
          <idx val="70"/>
          <order val="70"/>
          <tx>
            <v>Porsche 996 Turbo · sport (~2005)</v>
          </tx>
          <spPr>
            <a:ln xmlns:a="http://schemas.openxmlformats.org/drawingml/2006/main">
              <a:noFill/>
              <a:prstDash val="solid"/>
            </a:ln>
          </spPr>
          <marker>
            <symbol val="x"/>
            <size val="8"/>
            <spPr>
              <a:solidFill xmlns:a="http://schemas.openxmlformats.org/drawingml/2006/main">
                <a:srgbClr val="8A94A6"/>
              </a:solidFill>
              <a:ln xmlns:a="http://schemas.openxmlformats.org/drawingml/2006/main">
                <a:prstDash val="solid"/>
              </a:ln>
            </spPr>
          </marker>
          <xVal>
            <numRef>
              <f>'Plot data (helper)'!$C$6:$C$76</f>
            </numRef>
          </xVal>
          <yVal>
            <numRef>
              <f>'Plot data (helper)'!$CM$6:$CM$76</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$/mile  (P50 — lower = cheaper)</a:t>
                </a:r>
              </a:p>
            </rich>
          </tx>
        </title>
        <majorTickMark val="none"/>
        <minorTickMark val="none"/>
        <crossAx val="20"/>
      </valAx>
      <valAx>
        <axId val="20"/>
        <scaling>
          <orientation val="minMax"/>
        </scaling>
        <delete val="0"/>
        <axPos val="l"/>
        <majorGridlines/>
        <title>
          <tx>
            <strRef>
              <f>Plot!$B$3</f>
            </strRef>
          </tx>
        </title>
        <majorTickMark val="none"/>
        <minorTickMark val="none"/>
        <crossAx val="10"/>
      </valAx>
    </plotArea>
    <plotVisOnly val="1"/>
    <dispBlanksAs val="gap"/>
  </chart>
</chartSpace>
</file>

<file path=xl/charts/chart2.xml><?xml version="1.0" encoding="utf-8"?>
<chartSpace xmlns="http://schemas.openxmlformats.org/drawingml/2006/chart">
  <chart>
    <plotArea>
      <scatterChart>
        <ser>
          <idx val="0"/>
          <order val="0"/>
          <tx>
            <v>sedan</v>
          </tx>
          <spPr>
            <a:ln xmlns:a="http://schemas.openxmlformats.org/drawingml/2006/main">
              <a:noFill/>
              <a:prstDash val="solid"/>
            </a:ln>
          </spPr>
          <marker>
            <symbol val="circle"/>
            <size val="8"/>
            <spPr>
              <a:solidFill xmlns:a="http://schemas.openxmlformats.org/drawingml/2006/main">
                <a:srgbClr val="2F7DE1"/>
              </a:solidFill>
              <a:ln xmlns:a="http://schemas.openxmlformats.org/drawingml/2006/main">
                <a:prstDash val="solid"/>
              </a:ln>
            </spPr>
          </marker>
          <xVal>
            <numRef>
              <f>'Plot data (helper)'!$C$6:$C$76</f>
            </numRef>
          </xVal>
          <yVal>
            <numRef>
              <f>'Plot data (helper)'!$CO$6:$CO$76</f>
            </numRef>
          </yVal>
        </ser>
        <ser>
          <idx val="1"/>
          <order val="1"/>
          <tx>
            <v>hatch</v>
          </tx>
          <spPr>
            <a:ln xmlns:a="http://schemas.openxmlformats.org/drawingml/2006/main">
              <a:noFill/>
              <a:prstDash val="solid"/>
            </a:ln>
          </spPr>
          <marker>
            <symbol val="circle"/>
            <size val="8"/>
            <spPr>
              <a:solidFill xmlns:a="http://schemas.openxmlformats.org/drawingml/2006/main">
                <a:srgbClr val="00A8A8"/>
              </a:solidFill>
              <a:ln xmlns:a="http://schemas.openxmlformats.org/drawingml/2006/main">
                <a:prstDash val="solid"/>
              </a:ln>
            </spPr>
          </marker>
          <xVal>
            <numRef>
              <f>'Plot data (helper)'!$C$6:$C$76</f>
            </numRef>
          </xVal>
          <yVal>
            <numRef>
              <f>'Plot data (helper)'!$CP$6:$CP$76</f>
            </numRef>
          </yVal>
        </ser>
        <ser>
          <idx val="2"/>
          <order val="2"/>
          <tx>
            <v>SUV</v>
          </tx>
          <spPr>
            <a:ln xmlns:a="http://schemas.openxmlformats.org/drawingml/2006/main">
              <a:noFill/>
              <a:prstDash val="solid"/>
            </a:ln>
          </spPr>
          <marker>
            <symbol val="circle"/>
            <size val="8"/>
            <spPr>
              <a:solidFill xmlns:a="http://schemas.openxmlformats.org/drawingml/2006/main">
                <a:srgbClr val="E8833A"/>
              </a:solidFill>
              <a:ln xmlns:a="http://schemas.openxmlformats.org/drawingml/2006/main">
                <a:prstDash val="solid"/>
              </a:ln>
            </spPr>
          </marker>
          <xVal>
            <numRef>
              <f>'Plot data (helper)'!$C$6:$C$76</f>
            </numRef>
          </xVal>
          <yVal>
            <numRef>
              <f>'Plot data (helper)'!$CQ$6:$CQ$76</f>
            </numRef>
          </yVal>
        </ser>
        <ser>
          <idx val="3"/>
          <order val="3"/>
          <tx>
            <v>truck</v>
          </tx>
          <spPr>
            <a:ln xmlns:a="http://schemas.openxmlformats.org/drawingml/2006/main">
              <a:noFill/>
              <a:prstDash val="solid"/>
            </a:ln>
          </spPr>
          <marker>
            <symbol val="circle"/>
            <size val="8"/>
            <spPr>
              <a:solidFill xmlns:a="http://schemas.openxmlformats.org/drawingml/2006/main">
                <a:srgbClr val="6B4423"/>
              </a:solidFill>
              <a:ln xmlns:a="http://schemas.openxmlformats.org/drawingml/2006/main">
                <a:prstDash val="solid"/>
              </a:ln>
            </spPr>
          </marker>
          <xVal>
            <numRef>
              <f>'Plot data (helper)'!$C$6:$C$76</f>
            </numRef>
          </xVal>
          <yVal>
            <numRef>
              <f>'Plot data (helper)'!$CR$6:$CR$76</f>
            </numRef>
          </yVal>
        </ser>
        <ser>
          <idx val="4"/>
          <order val="4"/>
          <tx>
            <v>van</v>
          </tx>
          <spPr>
            <a:ln xmlns:a="http://schemas.openxmlformats.org/drawingml/2006/main">
              <a:noFill/>
              <a:prstDash val="solid"/>
            </a:ln>
          </spPr>
          <marker>
            <symbol val="circle"/>
            <size val="8"/>
            <spPr>
              <a:solidFill xmlns:a="http://schemas.openxmlformats.org/drawingml/2006/main">
                <a:srgbClr val="C0392B"/>
              </a:solidFill>
              <a:ln xmlns:a="http://schemas.openxmlformats.org/drawingml/2006/main">
                <a:prstDash val="solid"/>
              </a:ln>
            </spPr>
          </marker>
          <xVal>
            <numRef>
              <f>'Plot data (helper)'!$C$6:$C$76</f>
            </numRef>
          </xVal>
          <yVal>
            <numRef>
              <f>'Plot data (helper)'!$CS$6:$CS$76</f>
            </numRef>
          </yVal>
        </ser>
        <ser>
          <idx val="5"/>
          <order val="5"/>
          <tx>
            <v>sport</v>
          </tx>
          <spPr>
            <a:ln xmlns:a="http://schemas.openxmlformats.org/drawingml/2006/main">
              <a:noFill/>
              <a:prstDash val="solid"/>
            </a:ln>
          </spPr>
          <marker>
            <symbol val="circle"/>
            <size val="8"/>
            <spPr>
              <a:solidFill xmlns:a="http://schemas.openxmlformats.org/drawingml/2006/main">
                <a:srgbClr val="2C3E50"/>
              </a:solidFill>
              <a:ln xmlns:a="http://schemas.openxmlformats.org/drawingml/2006/main">
                <a:prstDash val="solid"/>
              </a:ln>
            </spPr>
          </marker>
          <xVal>
            <numRef>
              <f>'Plot data (helper)'!$C$6:$C$76</f>
            </numRef>
          </xVal>
          <yVal>
            <numRef>
              <f>'Plot data (helper)'!$CT$6:$CT$76</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$/mile  (P50 — lower = cheaper)</a:t>
                </a:r>
              </a:p>
            </rich>
          </tx>
        </title>
        <majorTickMark val="none"/>
        <minorTickMark val="none"/>
        <crossAx val="20"/>
      </valAx>
      <valAx>
        <axId val="20"/>
        <scaling>
          <orientation val="minMax"/>
        </scaling>
        <delete val="0"/>
        <axPos val="l"/>
        <majorGridlines/>
        <title>
          <tx>
            <strRef>
              <f>Plot!$B$3</f>
            </strRef>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1) When does it pay back? — cumulative $ spent vs miles driven</a:t>
            </a:r>
          </a:p>
        </rich>
      </tx>
    </title>
    <plotArea>
      <lineChart>
        <grouping val="standard"/>
        <ser>
          <idx val="0"/>
          <order val="0"/>
          <tx>
            <strRef>
              <f>Charts!$A$4</f>
            </strRef>
          </tx>
          <spPr>
            <a:ln xmlns:a="http://schemas.openxmlformats.org/drawingml/2006/main">
              <a:prstDash val="solid"/>
            </a:ln>
          </spPr>
          <marker>
            <symbol val="none"/>
            <spPr>
              <a:ln xmlns:a="http://schemas.openxmlformats.org/drawingml/2006/main">
                <a:prstDash val="solid"/>
              </a:ln>
            </spPr>
          </marker>
          <cat>
            <numRef>
              <f>'Charts data (helper)'!$N$17:$N$26</f>
            </numRef>
          </cat>
          <val>
            <numRef>
              <f>'Charts data (helper)'!$O$17:$O$26</f>
            </numRef>
          </val>
        </ser>
        <ser>
          <idx val="1"/>
          <order val="1"/>
          <tx>
            <strRef>
              <f>Charts!$A$5</f>
            </strRef>
          </tx>
          <spPr>
            <a:ln xmlns:a="http://schemas.openxmlformats.org/drawingml/2006/main">
              <a:prstDash val="solid"/>
            </a:ln>
          </spPr>
          <marker>
            <symbol val="none"/>
            <spPr>
              <a:ln xmlns:a="http://schemas.openxmlformats.org/drawingml/2006/main">
                <a:prstDash val="solid"/>
              </a:ln>
            </spPr>
          </marker>
          <cat>
            <numRef>
              <f>'Charts data (helper)'!$N$17:$N$26</f>
            </numRef>
          </cat>
          <val>
            <numRef>
              <f>'Charts data (helper)'!$P$17:$P$26</f>
            </numRef>
          </val>
        </ser>
        <ser>
          <idx val="2"/>
          <order val="2"/>
          <tx>
            <strRef>
              <f>Charts!$A$6</f>
            </strRef>
          </tx>
          <spPr>
            <a:ln xmlns:a="http://schemas.openxmlformats.org/drawingml/2006/main">
              <a:prstDash val="solid"/>
            </a:ln>
          </spPr>
          <marker>
            <symbol val="none"/>
            <spPr>
              <a:ln xmlns:a="http://schemas.openxmlformats.org/drawingml/2006/main">
                <a:prstDash val="solid"/>
              </a:ln>
            </spPr>
          </marker>
          <cat>
            <numRef>
              <f>'Charts data (helper)'!$N$17:$N$26</f>
            </numRef>
          </cat>
          <val>
            <numRef>
              <f>'Charts data (helper)'!$Q$17:$Q$26</f>
            </numRef>
          </val>
        </ser>
        <ser>
          <idx val="3"/>
          <order val="3"/>
          <tx>
            <strRef>
              <f>Charts!$A$7</f>
            </strRef>
          </tx>
          <spPr>
            <a:ln xmlns:a="http://schemas.openxmlformats.org/drawingml/2006/main">
              <a:prstDash val="solid"/>
            </a:ln>
          </spPr>
          <marker>
            <symbol val="none"/>
            <spPr>
              <a:ln xmlns:a="http://schemas.openxmlformats.org/drawingml/2006/main">
                <a:prstDash val="solid"/>
              </a:ln>
            </spPr>
          </marker>
          <cat>
            <numRef>
              <f>'Charts data (helper)'!$N$17:$N$26</f>
            </numRef>
          </cat>
          <val>
            <numRef>
              <f>'Charts data (helper)'!$R$17:$R$26</f>
            </numRef>
          </val>
        </ser>
        <ser>
          <idx val="4"/>
          <order val="4"/>
          <tx>
            <strRef>
              <f>Charts!$A$8</f>
            </strRef>
          </tx>
          <spPr>
            <a:ln xmlns:a="http://schemas.openxmlformats.org/drawingml/2006/main">
              <a:prstDash val="solid"/>
            </a:ln>
          </spPr>
          <marker>
            <symbol val="none"/>
            <spPr>
              <a:ln xmlns:a="http://schemas.openxmlformats.org/drawingml/2006/main">
                <a:prstDash val="solid"/>
              </a:ln>
            </spPr>
          </marker>
          <cat>
            <numRef>
              <f>'Charts data (helper)'!$N$17:$N$26</f>
            </numRef>
          </cat>
          <val>
            <numRef>
              <f>'Charts data (helper)'!$S$17:$S$26</f>
            </numRef>
          </val>
        </ser>
        <ser>
          <idx val="5"/>
          <order val="5"/>
          <tx>
            <strRef>
              <f>Charts!$A$9</f>
            </strRef>
          </tx>
          <spPr>
            <a:ln xmlns:a="http://schemas.openxmlformats.org/drawingml/2006/main">
              <a:prstDash val="solid"/>
            </a:ln>
          </spPr>
          <marker>
            <symbol val="none"/>
            <spPr>
              <a:ln xmlns:a="http://schemas.openxmlformats.org/drawingml/2006/main">
                <a:prstDash val="solid"/>
              </a:ln>
            </spPr>
          </marker>
          <cat>
            <numRef>
              <f>'Charts data (helper)'!$N$17:$N$26</f>
            </numRef>
          </cat>
          <val>
            <numRef>
              <f>'Charts data (helper)'!$T$17:$T$26</f>
            </numRef>
          </val>
        </ser>
        <ser>
          <idx val="6"/>
          <order val="6"/>
          <tx>
            <strRef>
              <f>Charts!$A$10</f>
            </strRef>
          </tx>
          <spPr>
            <a:ln xmlns:a="http://schemas.openxmlformats.org/drawingml/2006/main">
              <a:prstDash val="solid"/>
            </a:ln>
          </spPr>
          <marker>
            <symbol val="none"/>
            <spPr>
              <a:ln xmlns:a="http://schemas.openxmlformats.org/drawingml/2006/main">
                <a:prstDash val="solid"/>
              </a:ln>
            </spPr>
          </marker>
          <cat>
            <numRef>
              <f>'Charts data (helper)'!$N$17:$N$26</f>
            </numRef>
          </cat>
          <val>
            <numRef>
              <f>'Charts data (helper)'!$U$17:$U$26</f>
            </numRef>
          </val>
        </ser>
        <ser>
          <idx val="7"/>
          <order val="7"/>
          <tx>
            <strRef>
              <f>Charts!$A$11</f>
            </strRef>
          </tx>
          <spPr>
            <a:ln xmlns:a="http://schemas.openxmlformats.org/drawingml/2006/main">
              <a:prstDash val="solid"/>
            </a:ln>
          </spPr>
          <marker>
            <symbol val="none"/>
            <spPr>
              <a:ln xmlns:a="http://schemas.openxmlformats.org/drawingml/2006/main">
                <a:prstDash val="solid"/>
              </a:ln>
            </spPr>
          </marker>
          <cat>
            <numRef>
              <f>'Charts data (helper)'!$N$17:$N$26</f>
            </numRef>
          </cat>
          <val>
            <numRef>
              <f>'Charts data (helper)'!$V$17:$V$26</f>
            </numRef>
          </val>
        </ser>
        <ser>
          <idx val="8"/>
          <order val="8"/>
          <tx>
            <strRef>
              <f>Charts!$A$12</f>
            </strRef>
          </tx>
          <spPr>
            <a:ln xmlns:a="http://schemas.openxmlformats.org/drawingml/2006/main">
              <a:prstDash val="solid"/>
            </a:ln>
          </spPr>
          <marker>
            <symbol val="none"/>
            <spPr>
              <a:ln xmlns:a="http://schemas.openxmlformats.org/drawingml/2006/main">
                <a:prstDash val="solid"/>
              </a:ln>
            </spPr>
          </marker>
          <cat>
            <numRef>
              <f>'Charts data (helper)'!$N$17:$N$26</f>
            </numRef>
          </cat>
          <val>
            <numRef>
              <f>'Charts data (helper)'!$W$17:$W$26</f>
            </numRef>
          </val>
        </ser>
        <ser>
          <idx val="9"/>
          <order val="9"/>
          <tx>
            <strRef>
              <f>Charts!$A$13</f>
            </strRef>
          </tx>
          <spPr>
            <a:ln xmlns:a="http://schemas.openxmlformats.org/drawingml/2006/main">
              <a:prstDash val="solid"/>
            </a:ln>
          </spPr>
          <marker>
            <symbol val="none"/>
            <spPr>
              <a:ln xmlns:a="http://schemas.openxmlformats.org/drawingml/2006/main">
                <a:prstDash val="solid"/>
              </a:ln>
            </spPr>
          </marker>
          <cat>
            <numRef>
              <f>'Charts data (helper)'!$N$17:$N$26</f>
            </numRef>
          </cat>
          <val>
            <numRef>
              <f>'Charts data (helper)'!$X$17:$X$26</f>
            </numRef>
          </val>
        </ser>
        <axId val="10"/>
        <axId val="100"/>
      </lineChart>
      <catAx>
        <axId val="10"/>
        <scaling>
          <orientation val="minMax"/>
        </scaling>
        <axPos val="l"/>
        <title>
          <tx>
            <rich>
              <a:bodyPr xmlns:a="http://schemas.openxmlformats.org/drawingml/2006/main"/>
              <a:p xmlns:a="http://schemas.openxmlformats.org/drawingml/2006/main">
                <a:pPr>
                  <a:defRPr/>
                </a:pPr>
                <a:r>
                  <a:t>miles driven since purchase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cumulative $ spent</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2) What am I actually paying for? ($/mi by component)</a:t>
            </a:r>
          </a:p>
        </rich>
      </tx>
    </title>
    <plotArea>
      <barChart>
        <barDir val="col"/>
        <grouping val="stacked"/>
        <ser>
          <idx val="0"/>
          <order val="0"/>
          <tx>
            <strRef>
              <f>'Charts data (helper)'!O47</f>
            </strRef>
          </tx>
          <spPr>
            <a:ln xmlns:a="http://schemas.openxmlformats.org/drawingml/2006/main">
              <a:prstDash val="solid"/>
            </a:ln>
          </spPr>
          <cat>
            <numRef>
              <f>'Charts'!$A$4:$A$13</f>
            </numRef>
          </cat>
          <val>
            <numRef>
              <f>'Charts data (helper)'!$O$48:$O$57</f>
            </numRef>
          </val>
        </ser>
        <ser>
          <idx val="1"/>
          <order val="1"/>
          <tx>
            <strRef>
              <f>'Charts data (helper)'!P47</f>
            </strRef>
          </tx>
          <spPr>
            <a:ln xmlns:a="http://schemas.openxmlformats.org/drawingml/2006/main">
              <a:prstDash val="solid"/>
            </a:ln>
          </spPr>
          <cat>
            <numRef>
              <f>'Charts'!$A$4:$A$13</f>
            </numRef>
          </cat>
          <val>
            <numRef>
              <f>'Charts data (helper)'!$P$48:$P$57</f>
            </numRef>
          </val>
        </ser>
        <ser>
          <idx val="2"/>
          <order val="2"/>
          <tx>
            <strRef>
              <f>'Charts data (helper)'!Q47</f>
            </strRef>
          </tx>
          <spPr>
            <a:ln xmlns:a="http://schemas.openxmlformats.org/drawingml/2006/main">
              <a:prstDash val="solid"/>
            </a:ln>
          </spPr>
          <cat>
            <numRef>
              <f>'Charts'!$A$4:$A$13</f>
            </numRef>
          </cat>
          <val>
            <numRef>
              <f>'Charts data (helper)'!$Q$48:$Q$57</f>
            </numRef>
          </val>
        </ser>
        <ser>
          <idx val="3"/>
          <order val="3"/>
          <tx>
            <strRef>
              <f>'Charts data (helper)'!R47</f>
            </strRef>
          </tx>
          <spPr>
            <a:ln xmlns:a="http://schemas.openxmlformats.org/drawingml/2006/main">
              <a:prstDash val="solid"/>
            </a:ln>
          </spPr>
          <cat>
            <numRef>
              <f>'Charts'!$A$4:$A$13</f>
            </numRef>
          </cat>
          <val>
            <numRef>
              <f>'Charts data (helper)'!$R$48:$R$57</f>
            </numRef>
          </val>
        </ser>
        <ser>
          <idx val="4"/>
          <order val="4"/>
          <tx>
            <strRef>
              <f>'Charts data (helper)'!S47</f>
            </strRef>
          </tx>
          <spPr>
            <a:ln xmlns:a="http://schemas.openxmlformats.org/drawingml/2006/main">
              <a:prstDash val="solid"/>
            </a:ln>
          </spPr>
          <cat>
            <numRef>
              <f>'Charts'!$A$4:$A$13</f>
            </numRef>
          </cat>
          <val>
            <numRef>
              <f>'Charts data (helper)'!$S$48:$S$57</f>
            </numRef>
          </val>
        </ser>
        <ser>
          <idx val="5"/>
          <order val="5"/>
          <tx>
            <strRef>
              <f>'Charts data (helper)'!T47</f>
            </strRef>
          </tx>
          <spPr>
            <a:ln xmlns:a="http://schemas.openxmlformats.org/drawingml/2006/main">
              <a:prstDash val="solid"/>
            </a:ln>
          </spPr>
          <cat>
            <numRef>
              <f>'Charts'!$A$4:$A$13</f>
            </numRef>
          </cat>
          <val>
            <numRef>
              <f>'Charts data (helper)'!$T$48:$T$57</f>
            </numRef>
          </val>
        </ser>
        <ser>
          <idx val="6"/>
          <order val="6"/>
          <tx>
            <strRef>
              <f>'Charts data (helper)'!U47</f>
            </strRef>
          </tx>
          <spPr>
            <a:ln xmlns:a="http://schemas.openxmlformats.org/drawingml/2006/main">
              <a:prstDash val="solid"/>
            </a:ln>
          </spPr>
          <cat>
            <numRef>
              <f>'Charts'!$A$4:$A$13</f>
            </numRef>
          </cat>
          <val>
            <numRef>
              <f>'Charts data (helper)'!$U$48:$U$57</f>
            </numRef>
          </val>
        </ser>
        <ser>
          <idx val="7"/>
          <order val="7"/>
          <tx>
            <strRef>
              <f>'Charts data (helper)'!V47</f>
            </strRef>
          </tx>
          <spPr>
            <a:ln xmlns:a="http://schemas.openxmlformats.org/drawingml/2006/main">
              <a:prstDash val="solid"/>
            </a:ln>
          </spPr>
          <cat>
            <numRef>
              <f>'Charts'!$A$4:$A$13</f>
            </numRef>
          </cat>
          <val>
            <numRef>
              <f>'Charts data (helper)'!$V$48:$V$57</f>
            </numRef>
          </val>
        </ser>
        <ser>
          <idx val="8"/>
          <order val="8"/>
          <tx>
            <strRef>
              <f>'Charts data (helper)'!W47</f>
            </strRef>
          </tx>
          <spPr>
            <a:ln xmlns:a="http://schemas.openxmlformats.org/drawingml/2006/main">
              <a:prstDash val="solid"/>
            </a:ln>
          </spPr>
          <cat>
            <numRef>
              <f>'Charts'!$A$4:$A$13</f>
            </numRef>
          </cat>
          <val>
            <numRef>
              <f>'Charts data (helper)'!$W$48:$W$57</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per mile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3) Cheap, or just risky? — $/mi vs bad-luck spread (P90-P50)</a:t>
            </a:r>
          </a:p>
        </rich>
      </tx>
    </title>
    <plotArea>
      <scatterChart>
        <ser>
          <idx val="0"/>
          <order val="0"/>
          <tx>
            <v>ev</v>
          </tx>
          <spPr>
            <a:ln xmlns:a="http://schemas.openxmlformats.org/drawingml/2006/main">
              <a:noFill/>
              <a:prstDash val="solid"/>
            </a:ln>
          </spPr>
          <marker>
            <symbol val="circle"/>
            <size val="7"/>
            <spPr>
              <a:solidFill xmlns:a="http://schemas.openxmlformats.org/drawingml/2006/main">
                <a:srgbClr val="2F7DE1"/>
              </a:solidFill>
              <a:ln xmlns:a="http://schemas.openxmlformats.org/drawingml/2006/main">
                <a:prstDash val="solid"/>
              </a:ln>
            </spPr>
          </marker>
          <xVal>
            <numRef>
              <f>'Charts data (helper)'!$EC$4:$EC$72</f>
            </numRef>
          </xVal>
          <yVal>
            <numRef>
              <f>'Charts data (helper)'!$ED$4:$ED$72</f>
            </numRef>
          </yVal>
        </ser>
        <ser>
          <idx val="1"/>
          <order val="1"/>
          <tx>
            <v>gas</v>
          </tx>
          <spPr>
            <a:ln xmlns:a="http://schemas.openxmlformats.org/drawingml/2006/main">
              <a:noFill/>
              <a:prstDash val="solid"/>
            </a:ln>
          </spPr>
          <marker>
            <symbol val="circle"/>
            <size val="7"/>
            <spPr>
              <a:solidFill xmlns:a="http://schemas.openxmlformats.org/drawingml/2006/main">
                <a:srgbClr val="8A94A6"/>
              </a:solidFill>
              <a:ln xmlns:a="http://schemas.openxmlformats.org/drawingml/2006/main">
                <a:prstDash val="solid"/>
              </a:ln>
            </spPr>
          </marker>
          <xVal>
            <numRef>
              <f>'Charts data (helper)'!$EC$4:$EC$72</f>
            </numRef>
          </xVal>
          <yVal>
            <numRef>
              <f>'Charts data (helper)'!$EE$4:$EE$72</f>
            </numRef>
          </yVal>
        </ser>
        <ser>
          <idx val="2"/>
          <order val="2"/>
          <tx>
            <v>hybrid</v>
          </tx>
          <spPr>
            <a:ln xmlns:a="http://schemas.openxmlformats.org/drawingml/2006/main">
              <a:noFill/>
              <a:prstDash val="solid"/>
            </a:ln>
          </spPr>
          <marker>
            <symbol val="circle"/>
            <size val="7"/>
            <spPr>
              <a:solidFill xmlns:a="http://schemas.openxmlformats.org/drawingml/2006/main">
                <a:srgbClr val="2E9E5B"/>
              </a:solidFill>
              <a:ln xmlns:a="http://schemas.openxmlformats.org/drawingml/2006/main">
                <a:prstDash val="solid"/>
              </a:ln>
            </spPr>
          </marker>
          <xVal>
            <numRef>
              <f>'Charts data (helper)'!$EC$4:$EC$72</f>
            </numRef>
          </xVal>
          <yVal>
            <numRef>
              <f>'Charts data (helper)'!$EF$4:$EF$72</f>
            </numRef>
          </yVal>
        </ser>
        <ser>
          <idx val="3"/>
          <order val="3"/>
          <tx>
            <v>phev</v>
          </tx>
          <spPr>
            <a:ln xmlns:a="http://schemas.openxmlformats.org/drawingml/2006/main">
              <a:noFill/>
              <a:prstDash val="solid"/>
            </a:ln>
          </spPr>
          <marker>
            <symbol val="circle"/>
            <size val="7"/>
            <spPr>
              <a:solidFill xmlns:a="http://schemas.openxmlformats.org/drawingml/2006/main">
                <a:srgbClr val="8E44AD"/>
              </a:solidFill>
              <a:ln xmlns:a="http://schemas.openxmlformats.org/drawingml/2006/main">
                <a:prstDash val="solid"/>
              </a:ln>
            </spPr>
          </marker>
          <xVal>
            <numRef>
              <f>'Charts data (helper)'!$EC$4:$EC$72</f>
            </numRef>
          </xVal>
          <yVal>
            <numRef>
              <f>'Charts data (helper)'!$EG$4:$EG$72</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$/mile (P50)</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bad-luck spread P90-P50 ($/mi)</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4) Does your real annual mileage change the answer?</a:t>
            </a:r>
          </a:p>
        </rich>
      </tx>
    </title>
    <plotArea>
      <lineChart>
        <grouping val="standard"/>
        <ser>
          <idx val="0"/>
          <order val="0"/>
          <tx>
            <strRef>
              <f>Charts!$A$4</f>
            </strRef>
          </tx>
          <spPr>
            <a:ln xmlns:a="http://schemas.openxmlformats.org/drawingml/2006/main">
              <a:prstDash val="solid"/>
            </a:ln>
          </spPr>
          <marker>
            <symbol val="none"/>
            <spPr>
              <a:ln xmlns:a="http://schemas.openxmlformats.org/drawingml/2006/main">
                <a:prstDash val="solid"/>
              </a:ln>
            </spPr>
          </marker>
          <cat>
            <numRef>
              <f>'Charts data (helper)'!$N$110:$N$116</f>
            </numRef>
          </cat>
          <val>
            <numRef>
              <f>'Charts data (helper)'!$O$110:$O$116</f>
            </numRef>
          </val>
        </ser>
        <ser>
          <idx val="1"/>
          <order val="1"/>
          <tx>
            <strRef>
              <f>Charts!$A$5</f>
            </strRef>
          </tx>
          <spPr>
            <a:ln xmlns:a="http://schemas.openxmlformats.org/drawingml/2006/main">
              <a:prstDash val="solid"/>
            </a:ln>
          </spPr>
          <marker>
            <symbol val="none"/>
            <spPr>
              <a:ln xmlns:a="http://schemas.openxmlformats.org/drawingml/2006/main">
                <a:prstDash val="solid"/>
              </a:ln>
            </spPr>
          </marker>
          <cat>
            <numRef>
              <f>'Charts data (helper)'!$N$110:$N$116</f>
            </numRef>
          </cat>
          <val>
            <numRef>
              <f>'Charts data (helper)'!$P$110:$P$116</f>
            </numRef>
          </val>
        </ser>
        <ser>
          <idx val="2"/>
          <order val="2"/>
          <tx>
            <strRef>
              <f>Charts!$A$6</f>
            </strRef>
          </tx>
          <spPr>
            <a:ln xmlns:a="http://schemas.openxmlformats.org/drawingml/2006/main">
              <a:prstDash val="solid"/>
            </a:ln>
          </spPr>
          <marker>
            <symbol val="none"/>
            <spPr>
              <a:ln xmlns:a="http://schemas.openxmlformats.org/drawingml/2006/main">
                <a:prstDash val="solid"/>
              </a:ln>
            </spPr>
          </marker>
          <cat>
            <numRef>
              <f>'Charts data (helper)'!$N$110:$N$116</f>
            </numRef>
          </cat>
          <val>
            <numRef>
              <f>'Charts data (helper)'!$Q$110:$Q$116</f>
            </numRef>
          </val>
        </ser>
        <ser>
          <idx val="3"/>
          <order val="3"/>
          <tx>
            <strRef>
              <f>Charts!$A$7</f>
            </strRef>
          </tx>
          <spPr>
            <a:ln xmlns:a="http://schemas.openxmlformats.org/drawingml/2006/main">
              <a:prstDash val="solid"/>
            </a:ln>
          </spPr>
          <marker>
            <symbol val="none"/>
            <spPr>
              <a:ln xmlns:a="http://schemas.openxmlformats.org/drawingml/2006/main">
                <a:prstDash val="solid"/>
              </a:ln>
            </spPr>
          </marker>
          <cat>
            <numRef>
              <f>'Charts data (helper)'!$N$110:$N$116</f>
            </numRef>
          </cat>
          <val>
            <numRef>
              <f>'Charts data (helper)'!$R$110:$R$116</f>
            </numRef>
          </val>
        </ser>
        <ser>
          <idx val="4"/>
          <order val="4"/>
          <tx>
            <strRef>
              <f>Charts!$A$8</f>
            </strRef>
          </tx>
          <spPr>
            <a:ln xmlns:a="http://schemas.openxmlformats.org/drawingml/2006/main">
              <a:prstDash val="solid"/>
            </a:ln>
          </spPr>
          <marker>
            <symbol val="none"/>
            <spPr>
              <a:ln xmlns:a="http://schemas.openxmlformats.org/drawingml/2006/main">
                <a:prstDash val="solid"/>
              </a:ln>
            </spPr>
          </marker>
          <cat>
            <numRef>
              <f>'Charts data (helper)'!$N$110:$N$116</f>
            </numRef>
          </cat>
          <val>
            <numRef>
              <f>'Charts data (helper)'!$S$110:$S$116</f>
            </numRef>
          </val>
        </ser>
        <ser>
          <idx val="5"/>
          <order val="5"/>
          <tx>
            <strRef>
              <f>Charts!$A$9</f>
            </strRef>
          </tx>
          <spPr>
            <a:ln xmlns:a="http://schemas.openxmlformats.org/drawingml/2006/main">
              <a:prstDash val="solid"/>
            </a:ln>
          </spPr>
          <marker>
            <symbol val="none"/>
            <spPr>
              <a:ln xmlns:a="http://schemas.openxmlformats.org/drawingml/2006/main">
                <a:prstDash val="solid"/>
              </a:ln>
            </spPr>
          </marker>
          <cat>
            <numRef>
              <f>'Charts data (helper)'!$N$110:$N$116</f>
            </numRef>
          </cat>
          <val>
            <numRef>
              <f>'Charts data (helper)'!$T$110:$T$116</f>
            </numRef>
          </val>
        </ser>
        <ser>
          <idx val="6"/>
          <order val="6"/>
          <tx>
            <strRef>
              <f>Charts!$A$10</f>
            </strRef>
          </tx>
          <spPr>
            <a:ln xmlns:a="http://schemas.openxmlformats.org/drawingml/2006/main">
              <a:prstDash val="solid"/>
            </a:ln>
          </spPr>
          <marker>
            <symbol val="none"/>
            <spPr>
              <a:ln xmlns:a="http://schemas.openxmlformats.org/drawingml/2006/main">
                <a:prstDash val="solid"/>
              </a:ln>
            </spPr>
          </marker>
          <cat>
            <numRef>
              <f>'Charts data (helper)'!$N$110:$N$116</f>
            </numRef>
          </cat>
          <val>
            <numRef>
              <f>'Charts data (helper)'!$U$110:$U$116</f>
            </numRef>
          </val>
        </ser>
        <ser>
          <idx val="7"/>
          <order val="7"/>
          <tx>
            <strRef>
              <f>Charts!$A$11</f>
            </strRef>
          </tx>
          <spPr>
            <a:ln xmlns:a="http://schemas.openxmlformats.org/drawingml/2006/main">
              <a:prstDash val="solid"/>
            </a:ln>
          </spPr>
          <marker>
            <symbol val="none"/>
            <spPr>
              <a:ln xmlns:a="http://schemas.openxmlformats.org/drawingml/2006/main">
                <a:prstDash val="solid"/>
              </a:ln>
            </spPr>
          </marker>
          <cat>
            <numRef>
              <f>'Charts data (helper)'!$N$110:$N$116</f>
            </numRef>
          </cat>
          <val>
            <numRef>
              <f>'Charts data (helper)'!$V$110:$V$116</f>
            </numRef>
          </val>
        </ser>
        <ser>
          <idx val="8"/>
          <order val="8"/>
          <tx>
            <strRef>
              <f>Charts!$A$12</f>
            </strRef>
          </tx>
          <spPr>
            <a:ln xmlns:a="http://schemas.openxmlformats.org/drawingml/2006/main">
              <a:prstDash val="solid"/>
            </a:ln>
          </spPr>
          <marker>
            <symbol val="none"/>
            <spPr>
              <a:ln xmlns:a="http://schemas.openxmlformats.org/drawingml/2006/main">
                <a:prstDash val="solid"/>
              </a:ln>
            </spPr>
          </marker>
          <cat>
            <numRef>
              <f>'Charts data (helper)'!$N$110:$N$116</f>
            </numRef>
          </cat>
          <val>
            <numRef>
              <f>'Charts data (helper)'!$W$110:$W$116</f>
            </numRef>
          </val>
        </ser>
        <ser>
          <idx val="9"/>
          <order val="9"/>
          <tx>
            <strRef>
              <f>Charts!$A$13</f>
            </strRef>
          </tx>
          <spPr>
            <a:ln xmlns:a="http://schemas.openxmlformats.org/drawingml/2006/main">
              <a:prstDash val="solid"/>
            </a:ln>
          </spPr>
          <marker>
            <symbol val="none"/>
            <spPr>
              <a:ln xmlns:a="http://schemas.openxmlformats.org/drawingml/2006/main">
                <a:prstDash val="solid"/>
              </a:ln>
            </spPr>
          </marker>
          <cat>
            <numRef>
              <f>'Charts data (helper)'!$N$110:$N$116</f>
            </numRef>
          </cat>
          <val>
            <numRef>
              <f>'Charts data (helper)'!$X$110:$X$116</f>
            </numRef>
          </val>
        </ser>
        <axId val="10"/>
        <axId val="100"/>
      </lineChart>
      <catAx>
        <axId val="10"/>
        <scaling>
          <orientation val="minMax"/>
        </scaling>
        <axPos val="l"/>
        <title>
          <tx>
            <rich>
              <a:bodyPr xmlns:a="http://schemas.openxmlformats.org/drawingml/2006/main"/>
              <a:p xmlns:a="http://schemas.openxmlformats.org/drawingml/2006/main">
                <a:pPr>
                  <a:defRPr/>
                </a:pPr>
                <a:r>
                  <a:t>miles driven per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per mile</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5) Space per dollar — $/seat-mile vs cargo (right &amp; low = best family value)</a:t>
            </a:r>
          </a:p>
        </rich>
      </tx>
    </title>
    <plotArea>
      <scatterChart>
        <ser>
          <idx val="0"/>
          <order val="0"/>
          <tx>
            <v>4 seats</v>
          </tx>
          <spPr>
            <a:ln xmlns:a="http://schemas.openxmlformats.org/drawingml/2006/main">
              <a:noFill/>
              <a:prstDash val="solid"/>
            </a:ln>
          </spPr>
          <marker>
            <symbol val="circle"/>
            <size val="7"/>
            <spPr>
              <a:ln xmlns:a="http://schemas.openxmlformats.org/drawingml/2006/main">
                <a:prstDash val="solid"/>
              </a:ln>
            </spPr>
          </marker>
          <xVal>
            <numRef>
              <f>'Charts data (helper)'!$EO$4:$EO$72</f>
            </numRef>
          </xVal>
          <yVal>
            <numRef>
              <f>'Charts data (helper)'!$EP$4:$EP$72</f>
            </numRef>
          </yVal>
        </ser>
        <ser>
          <idx val="1"/>
          <order val="1"/>
          <tx>
            <v>5 seats</v>
          </tx>
          <spPr>
            <a:ln xmlns:a="http://schemas.openxmlformats.org/drawingml/2006/main">
              <a:noFill/>
              <a:prstDash val="solid"/>
            </a:ln>
          </spPr>
          <marker>
            <symbol val="circle"/>
            <size val="7"/>
            <spPr>
              <a:ln xmlns:a="http://schemas.openxmlformats.org/drawingml/2006/main">
                <a:prstDash val="solid"/>
              </a:ln>
            </spPr>
          </marker>
          <xVal>
            <numRef>
              <f>'Charts data (helper)'!$EO$4:$EO$72</f>
            </numRef>
          </xVal>
          <yVal>
            <numRef>
              <f>'Charts data (helper)'!$EQ$4:$EQ$72</f>
            </numRef>
          </yVal>
        </ser>
        <ser>
          <idx val="2"/>
          <order val="2"/>
          <tx>
            <v>6 seats</v>
          </tx>
          <spPr>
            <a:ln xmlns:a="http://schemas.openxmlformats.org/drawingml/2006/main">
              <a:noFill/>
              <a:prstDash val="solid"/>
            </a:ln>
          </spPr>
          <marker>
            <symbol val="circle"/>
            <size val="7"/>
            <spPr>
              <a:ln xmlns:a="http://schemas.openxmlformats.org/drawingml/2006/main">
                <a:prstDash val="solid"/>
              </a:ln>
            </spPr>
          </marker>
          <xVal>
            <numRef>
              <f>'Charts data (helper)'!$EO$4:$EO$72</f>
            </numRef>
          </xVal>
          <yVal>
            <numRef>
              <f>'Charts data (helper)'!$ER$4:$ER$72</f>
            </numRef>
          </yVal>
        </ser>
        <ser>
          <idx val="3"/>
          <order val="3"/>
          <tx>
            <v>7 seats</v>
          </tx>
          <spPr>
            <a:ln xmlns:a="http://schemas.openxmlformats.org/drawingml/2006/main">
              <a:noFill/>
              <a:prstDash val="solid"/>
            </a:ln>
          </spPr>
          <marker>
            <symbol val="circle"/>
            <size val="7"/>
            <spPr>
              <a:ln xmlns:a="http://schemas.openxmlformats.org/drawingml/2006/main">
                <a:prstDash val="solid"/>
              </a:ln>
            </spPr>
          </marker>
          <xVal>
            <numRef>
              <f>'Charts data (helper)'!$EO$4:$EO$72</f>
            </numRef>
          </xVal>
          <yVal>
            <numRef>
              <f>'Charts data (helper)'!$ES$4:$ES$72</f>
            </numRef>
          </yVal>
        </ser>
        <ser>
          <idx val="4"/>
          <order val="4"/>
          <tx>
            <v>8 seats</v>
          </tx>
          <spPr>
            <a:ln xmlns:a="http://schemas.openxmlformats.org/drawingml/2006/main">
              <a:noFill/>
              <a:prstDash val="solid"/>
            </a:ln>
          </spPr>
          <marker>
            <symbol val="circle"/>
            <size val="7"/>
            <spPr>
              <a:ln xmlns:a="http://schemas.openxmlformats.org/drawingml/2006/main">
                <a:prstDash val="solid"/>
              </a:ln>
            </spPr>
          </marker>
          <xVal>
            <numRef>
              <f>'Charts data (helper)'!$EO$4:$EO$72</f>
            </numRef>
          </xVal>
          <yVal>
            <numRef>
              <f>'Charts data (helper)'!$ET$4:$ET$72</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 per seat-mile</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max cargo (cu ft)</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6) Where on the odometer should I buy? (flat curve = timing does not matter)</a:t>
            </a:r>
          </a:p>
        </rich>
      </tx>
    </title>
    <plotArea>
      <lineChart>
        <grouping val="standard"/>
        <ser>
          <idx val="0"/>
          <order val="0"/>
          <tx>
            <strRef>
              <f>Charts!$A$4</f>
            </strRef>
          </tx>
          <spPr>
            <a:ln xmlns:a="http://schemas.openxmlformats.org/drawingml/2006/main">
              <a:prstDash val="solid"/>
            </a:ln>
          </spPr>
          <marker>
            <symbol val="none"/>
            <spPr>
              <a:ln xmlns:a="http://schemas.openxmlformats.org/drawingml/2006/main">
                <a:prstDash val="solid"/>
              </a:ln>
            </spPr>
          </marker>
          <cat>
            <numRef>
              <f>'Charts data (helper)'!$N$172:$N$179</f>
            </numRef>
          </cat>
          <val>
            <numRef>
              <f>'Charts data (helper)'!$O$172:$O$179</f>
            </numRef>
          </val>
        </ser>
        <ser>
          <idx val="1"/>
          <order val="1"/>
          <tx>
            <strRef>
              <f>Charts!$A$5</f>
            </strRef>
          </tx>
          <spPr>
            <a:ln xmlns:a="http://schemas.openxmlformats.org/drawingml/2006/main">
              <a:prstDash val="solid"/>
            </a:ln>
          </spPr>
          <marker>
            <symbol val="none"/>
            <spPr>
              <a:ln xmlns:a="http://schemas.openxmlformats.org/drawingml/2006/main">
                <a:prstDash val="solid"/>
              </a:ln>
            </spPr>
          </marker>
          <cat>
            <numRef>
              <f>'Charts data (helper)'!$N$172:$N$179</f>
            </numRef>
          </cat>
          <val>
            <numRef>
              <f>'Charts data (helper)'!$P$172:$P$179</f>
            </numRef>
          </val>
        </ser>
        <ser>
          <idx val="2"/>
          <order val="2"/>
          <tx>
            <strRef>
              <f>Charts!$A$6</f>
            </strRef>
          </tx>
          <spPr>
            <a:ln xmlns:a="http://schemas.openxmlformats.org/drawingml/2006/main">
              <a:prstDash val="solid"/>
            </a:ln>
          </spPr>
          <marker>
            <symbol val="none"/>
            <spPr>
              <a:ln xmlns:a="http://schemas.openxmlformats.org/drawingml/2006/main">
                <a:prstDash val="solid"/>
              </a:ln>
            </spPr>
          </marker>
          <cat>
            <numRef>
              <f>'Charts data (helper)'!$N$172:$N$179</f>
            </numRef>
          </cat>
          <val>
            <numRef>
              <f>'Charts data (helper)'!$Q$172:$Q$179</f>
            </numRef>
          </val>
        </ser>
        <ser>
          <idx val="3"/>
          <order val="3"/>
          <tx>
            <strRef>
              <f>Charts!$A$7</f>
            </strRef>
          </tx>
          <spPr>
            <a:ln xmlns:a="http://schemas.openxmlformats.org/drawingml/2006/main">
              <a:prstDash val="solid"/>
            </a:ln>
          </spPr>
          <marker>
            <symbol val="none"/>
            <spPr>
              <a:ln xmlns:a="http://schemas.openxmlformats.org/drawingml/2006/main">
                <a:prstDash val="solid"/>
              </a:ln>
            </spPr>
          </marker>
          <cat>
            <numRef>
              <f>'Charts data (helper)'!$N$172:$N$179</f>
            </numRef>
          </cat>
          <val>
            <numRef>
              <f>'Charts data (helper)'!$R$172:$R$179</f>
            </numRef>
          </val>
        </ser>
        <ser>
          <idx val="4"/>
          <order val="4"/>
          <tx>
            <strRef>
              <f>Charts!$A$8</f>
            </strRef>
          </tx>
          <spPr>
            <a:ln xmlns:a="http://schemas.openxmlformats.org/drawingml/2006/main">
              <a:prstDash val="solid"/>
            </a:ln>
          </spPr>
          <marker>
            <symbol val="none"/>
            <spPr>
              <a:ln xmlns:a="http://schemas.openxmlformats.org/drawingml/2006/main">
                <a:prstDash val="solid"/>
              </a:ln>
            </spPr>
          </marker>
          <cat>
            <numRef>
              <f>'Charts data (helper)'!$N$172:$N$179</f>
            </numRef>
          </cat>
          <val>
            <numRef>
              <f>'Charts data (helper)'!$S$172:$S$179</f>
            </numRef>
          </val>
        </ser>
        <ser>
          <idx val="5"/>
          <order val="5"/>
          <tx>
            <strRef>
              <f>Charts!$A$9</f>
            </strRef>
          </tx>
          <spPr>
            <a:ln xmlns:a="http://schemas.openxmlformats.org/drawingml/2006/main">
              <a:prstDash val="solid"/>
            </a:ln>
          </spPr>
          <marker>
            <symbol val="none"/>
            <spPr>
              <a:ln xmlns:a="http://schemas.openxmlformats.org/drawingml/2006/main">
                <a:prstDash val="solid"/>
              </a:ln>
            </spPr>
          </marker>
          <cat>
            <numRef>
              <f>'Charts data (helper)'!$N$172:$N$179</f>
            </numRef>
          </cat>
          <val>
            <numRef>
              <f>'Charts data (helper)'!$T$172:$T$179</f>
            </numRef>
          </val>
        </ser>
        <ser>
          <idx val="6"/>
          <order val="6"/>
          <tx>
            <strRef>
              <f>Charts!$A$10</f>
            </strRef>
          </tx>
          <spPr>
            <a:ln xmlns:a="http://schemas.openxmlformats.org/drawingml/2006/main">
              <a:prstDash val="solid"/>
            </a:ln>
          </spPr>
          <marker>
            <symbol val="none"/>
            <spPr>
              <a:ln xmlns:a="http://schemas.openxmlformats.org/drawingml/2006/main">
                <a:prstDash val="solid"/>
              </a:ln>
            </spPr>
          </marker>
          <cat>
            <numRef>
              <f>'Charts data (helper)'!$N$172:$N$179</f>
            </numRef>
          </cat>
          <val>
            <numRef>
              <f>'Charts data (helper)'!$U$172:$U$179</f>
            </numRef>
          </val>
        </ser>
        <ser>
          <idx val="7"/>
          <order val="7"/>
          <tx>
            <strRef>
              <f>Charts!$A$11</f>
            </strRef>
          </tx>
          <spPr>
            <a:ln xmlns:a="http://schemas.openxmlformats.org/drawingml/2006/main">
              <a:prstDash val="solid"/>
            </a:ln>
          </spPr>
          <marker>
            <symbol val="none"/>
            <spPr>
              <a:ln xmlns:a="http://schemas.openxmlformats.org/drawingml/2006/main">
                <a:prstDash val="solid"/>
              </a:ln>
            </spPr>
          </marker>
          <cat>
            <numRef>
              <f>'Charts data (helper)'!$N$172:$N$179</f>
            </numRef>
          </cat>
          <val>
            <numRef>
              <f>'Charts data (helper)'!$V$172:$V$179</f>
            </numRef>
          </val>
        </ser>
        <ser>
          <idx val="8"/>
          <order val="8"/>
          <tx>
            <strRef>
              <f>Charts!$A$12</f>
            </strRef>
          </tx>
          <spPr>
            <a:ln xmlns:a="http://schemas.openxmlformats.org/drawingml/2006/main">
              <a:prstDash val="solid"/>
            </a:ln>
          </spPr>
          <marker>
            <symbol val="none"/>
            <spPr>
              <a:ln xmlns:a="http://schemas.openxmlformats.org/drawingml/2006/main">
                <a:prstDash val="solid"/>
              </a:ln>
            </spPr>
          </marker>
          <cat>
            <numRef>
              <f>'Charts data (helper)'!$N$172:$N$179</f>
            </numRef>
          </cat>
          <val>
            <numRef>
              <f>'Charts data (helper)'!$W$172:$W$179</f>
            </numRef>
          </val>
        </ser>
        <ser>
          <idx val="9"/>
          <order val="9"/>
          <tx>
            <strRef>
              <f>Charts!$A$13</f>
            </strRef>
          </tx>
          <spPr>
            <a:ln xmlns:a="http://schemas.openxmlformats.org/drawingml/2006/main">
              <a:prstDash val="solid"/>
            </a:ln>
          </spPr>
          <marker>
            <symbol val="none"/>
            <spPr>
              <a:ln xmlns:a="http://schemas.openxmlformats.org/drawingml/2006/main">
                <a:prstDash val="solid"/>
              </a:ln>
            </spPr>
          </marker>
          <cat>
            <numRef>
              <f>'Charts data (helper)'!$N$172:$N$179</f>
            </numRef>
          </cat>
          <val>
            <numRef>
              <f>'Charts data (helper)'!$X$172:$X$179</f>
            </numRef>
          </val>
        </ser>
        <axId val="10"/>
        <axId val="100"/>
      </lineChart>
      <catAx>
        <axId val="10"/>
        <scaling>
          <orientation val="minMax"/>
        </scaling>
        <axPos val="l"/>
        <title>
          <tx>
            <rich>
              <a:bodyPr xmlns:a="http://schemas.openxmlformats.org/drawingml/2006/main"/>
              <a:p xmlns:a="http://schemas.openxmlformats.org/drawingml/2006/main">
                <a:pPr>
                  <a:defRPr/>
                </a:pPr>
                <a:r>
                  <a:t>purchase odometer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per mile</a:t>
                </a:r>
              </a:p>
            </rich>
          </tx>
        </title>
        <majorTickMark val="none"/>
        <minorTickMark val="none"/>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7) What if gas moves? (flat line = gas-proof)</a:t>
            </a:r>
          </a:p>
        </rich>
      </tx>
    </title>
    <plotArea>
      <lineChart>
        <grouping val="standard"/>
        <ser>
          <idx val="0"/>
          <order val="0"/>
          <tx>
            <strRef>
              <f>Charts!$A$4</f>
            </strRef>
          </tx>
          <spPr>
            <a:ln xmlns:a="http://schemas.openxmlformats.org/drawingml/2006/main">
              <a:prstDash val="solid"/>
            </a:ln>
          </spPr>
          <marker>
            <symbol val="none"/>
            <spPr>
              <a:ln xmlns:a="http://schemas.openxmlformats.org/drawingml/2006/main">
                <a:prstDash val="solid"/>
              </a:ln>
            </spPr>
          </marker>
          <cat>
            <numRef>
              <f>'Charts data (helper)'!$N$203:$N$209</f>
            </numRef>
          </cat>
          <val>
            <numRef>
              <f>'Charts data (helper)'!$O$203:$O$209</f>
            </numRef>
          </val>
        </ser>
        <ser>
          <idx val="1"/>
          <order val="1"/>
          <tx>
            <strRef>
              <f>Charts!$A$5</f>
            </strRef>
          </tx>
          <spPr>
            <a:ln xmlns:a="http://schemas.openxmlformats.org/drawingml/2006/main">
              <a:prstDash val="solid"/>
            </a:ln>
          </spPr>
          <marker>
            <symbol val="none"/>
            <spPr>
              <a:ln xmlns:a="http://schemas.openxmlformats.org/drawingml/2006/main">
                <a:prstDash val="solid"/>
              </a:ln>
            </spPr>
          </marker>
          <cat>
            <numRef>
              <f>'Charts data (helper)'!$N$203:$N$209</f>
            </numRef>
          </cat>
          <val>
            <numRef>
              <f>'Charts data (helper)'!$P$203:$P$209</f>
            </numRef>
          </val>
        </ser>
        <ser>
          <idx val="2"/>
          <order val="2"/>
          <tx>
            <strRef>
              <f>Charts!$A$6</f>
            </strRef>
          </tx>
          <spPr>
            <a:ln xmlns:a="http://schemas.openxmlformats.org/drawingml/2006/main">
              <a:prstDash val="solid"/>
            </a:ln>
          </spPr>
          <marker>
            <symbol val="none"/>
            <spPr>
              <a:ln xmlns:a="http://schemas.openxmlformats.org/drawingml/2006/main">
                <a:prstDash val="solid"/>
              </a:ln>
            </spPr>
          </marker>
          <cat>
            <numRef>
              <f>'Charts data (helper)'!$N$203:$N$209</f>
            </numRef>
          </cat>
          <val>
            <numRef>
              <f>'Charts data (helper)'!$Q$203:$Q$209</f>
            </numRef>
          </val>
        </ser>
        <ser>
          <idx val="3"/>
          <order val="3"/>
          <tx>
            <strRef>
              <f>Charts!$A$7</f>
            </strRef>
          </tx>
          <spPr>
            <a:ln xmlns:a="http://schemas.openxmlformats.org/drawingml/2006/main">
              <a:prstDash val="solid"/>
            </a:ln>
          </spPr>
          <marker>
            <symbol val="none"/>
            <spPr>
              <a:ln xmlns:a="http://schemas.openxmlformats.org/drawingml/2006/main">
                <a:prstDash val="solid"/>
              </a:ln>
            </spPr>
          </marker>
          <cat>
            <numRef>
              <f>'Charts data (helper)'!$N$203:$N$209</f>
            </numRef>
          </cat>
          <val>
            <numRef>
              <f>'Charts data (helper)'!$R$203:$R$209</f>
            </numRef>
          </val>
        </ser>
        <ser>
          <idx val="4"/>
          <order val="4"/>
          <tx>
            <strRef>
              <f>Charts!$A$8</f>
            </strRef>
          </tx>
          <spPr>
            <a:ln xmlns:a="http://schemas.openxmlformats.org/drawingml/2006/main">
              <a:prstDash val="solid"/>
            </a:ln>
          </spPr>
          <marker>
            <symbol val="none"/>
            <spPr>
              <a:ln xmlns:a="http://schemas.openxmlformats.org/drawingml/2006/main">
                <a:prstDash val="solid"/>
              </a:ln>
            </spPr>
          </marker>
          <cat>
            <numRef>
              <f>'Charts data (helper)'!$N$203:$N$209</f>
            </numRef>
          </cat>
          <val>
            <numRef>
              <f>'Charts data (helper)'!$S$203:$S$209</f>
            </numRef>
          </val>
        </ser>
        <ser>
          <idx val="5"/>
          <order val="5"/>
          <tx>
            <strRef>
              <f>Charts!$A$9</f>
            </strRef>
          </tx>
          <spPr>
            <a:ln xmlns:a="http://schemas.openxmlformats.org/drawingml/2006/main">
              <a:prstDash val="solid"/>
            </a:ln>
          </spPr>
          <marker>
            <symbol val="none"/>
            <spPr>
              <a:ln xmlns:a="http://schemas.openxmlformats.org/drawingml/2006/main">
                <a:prstDash val="solid"/>
              </a:ln>
            </spPr>
          </marker>
          <cat>
            <numRef>
              <f>'Charts data (helper)'!$N$203:$N$209</f>
            </numRef>
          </cat>
          <val>
            <numRef>
              <f>'Charts data (helper)'!$T$203:$T$209</f>
            </numRef>
          </val>
        </ser>
        <ser>
          <idx val="6"/>
          <order val="6"/>
          <tx>
            <strRef>
              <f>Charts!$A$10</f>
            </strRef>
          </tx>
          <spPr>
            <a:ln xmlns:a="http://schemas.openxmlformats.org/drawingml/2006/main">
              <a:prstDash val="solid"/>
            </a:ln>
          </spPr>
          <marker>
            <symbol val="none"/>
            <spPr>
              <a:ln xmlns:a="http://schemas.openxmlformats.org/drawingml/2006/main">
                <a:prstDash val="solid"/>
              </a:ln>
            </spPr>
          </marker>
          <cat>
            <numRef>
              <f>'Charts data (helper)'!$N$203:$N$209</f>
            </numRef>
          </cat>
          <val>
            <numRef>
              <f>'Charts data (helper)'!$U$203:$U$209</f>
            </numRef>
          </val>
        </ser>
        <ser>
          <idx val="7"/>
          <order val="7"/>
          <tx>
            <strRef>
              <f>Charts!$A$11</f>
            </strRef>
          </tx>
          <spPr>
            <a:ln xmlns:a="http://schemas.openxmlformats.org/drawingml/2006/main">
              <a:prstDash val="solid"/>
            </a:ln>
          </spPr>
          <marker>
            <symbol val="none"/>
            <spPr>
              <a:ln xmlns:a="http://schemas.openxmlformats.org/drawingml/2006/main">
                <a:prstDash val="solid"/>
              </a:ln>
            </spPr>
          </marker>
          <cat>
            <numRef>
              <f>'Charts data (helper)'!$N$203:$N$209</f>
            </numRef>
          </cat>
          <val>
            <numRef>
              <f>'Charts data (helper)'!$V$203:$V$209</f>
            </numRef>
          </val>
        </ser>
        <ser>
          <idx val="8"/>
          <order val="8"/>
          <tx>
            <strRef>
              <f>Charts!$A$12</f>
            </strRef>
          </tx>
          <spPr>
            <a:ln xmlns:a="http://schemas.openxmlformats.org/drawingml/2006/main">
              <a:prstDash val="solid"/>
            </a:ln>
          </spPr>
          <marker>
            <symbol val="none"/>
            <spPr>
              <a:ln xmlns:a="http://schemas.openxmlformats.org/drawingml/2006/main">
                <a:prstDash val="solid"/>
              </a:ln>
            </spPr>
          </marker>
          <cat>
            <numRef>
              <f>'Charts data (helper)'!$N$203:$N$209</f>
            </numRef>
          </cat>
          <val>
            <numRef>
              <f>'Charts data (helper)'!$W$203:$W$209</f>
            </numRef>
          </val>
        </ser>
        <ser>
          <idx val="9"/>
          <order val="9"/>
          <tx>
            <strRef>
              <f>Charts!$A$13</f>
            </strRef>
          </tx>
          <spPr>
            <a:ln xmlns:a="http://schemas.openxmlformats.org/drawingml/2006/main">
              <a:prstDash val="solid"/>
            </a:ln>
          </spPr>
          <marker>
            <symbol val="none"/>
            <spPr>
              <a:ln xmlns:a="http://schemas.openxmlformats.org/drawingml/2006/main">
                <a:prstDash val="solid"/>
              </a:ln>
            </spPr>
          </marker>
          <cat>
            <numRef>
              <f>'Charts data (helper)'!$N$203:$N$209</f>
            </numRef>
          </cat>
          <val>
            <numRef>
              <f>'Charts data (helper)'!$X$203:$X$209</f>
            </numRef>
          </val>
        </ser>
        <axId val="10"/>
        <axId val="100"/>
      </lineChart>
      <catAx>
        <axId val="10"/>
        <scaling>
          <orientation val="minMax"/>
        </scaling>
        <axPos val="l"/>
        <title>
          <tx>
            <rich>
              <a:bodyPr xmlns:a="http://schemas.openxmlformats.org/drawingml/2006/main"/>
              <a:p xmlns:a="http://schemas.openxmlformats.org/drawingml/2006/main">
                <a:pPr>
                  <a:defRPr/>
                </a:pPr>
                <a:r>
                  <a:t>gas price $/gal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per mile</a:t>
                </a:r>
              </a:p>
            </rich>
          </tx>
        </title>
        <majorTickMark val="none"/>
        <minorTickMark val="none"/>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8) How much does the opportunity-cost rate matter? (headline uses 7% = S&amp;P real)</a:t>
            </a:r>
          </a:p>
        </rich>
      </tx>
    </title>
    <plotArea>
      <lineChart>
        <grouping val="standard"/>
        <ser>
          <idx val="0"/>
          <order val="0"/>
          <tx>
            <strRef>
              <f>Charts!$A$4</f>
            </strRef>
          </tx>
          <spPr>
            <a:ln xmlns:a="http://schemas.openxmlformats.org/drawingml/2006/main">
              <a:prstDash val="solid"/>
            </a:ln>
          </spPr>
          <marker>
            <symbol val="none"/>
            <spPr>
              <a:ln xmlns:a="http://schemas.openxmlformats.org/drawingml/2006/main">
                <a:prstDash val="solid"/>
              </a:ln>
            </spPr>
          </marker>
          <cat>
            <numRef>
              <f>'Charts data (helper)'!$N$234:$N$243</f>
            </numRef>
          </cat>
          <val>
            <numRef>
              <f>'Charts data (helper)'!$O$234:$O$243</f>
            </numRef>
          </val>
        </ser>
        <ser>
          <idx val="1"/>
          <order val="1"/>
          <tx>
            <strRef>
              <f>Charts!$A$5</f>
            </strRef>
          </tx>
          <spPr>
            <a:ln xmlns:a="http://schemas.openxmlformats.org/drawingml/2006/main">
              <a:prstDash val="solid"/>
            </a:ln>
          </spPr>
          <marker>
            <symbol val="none"/>
            <spPr>
              <a:ln xmlns:a="http://schemas.openxmlformats.org/drawingml/2006/main">
                <a:prstDash val="solid"/>
              </a:ln>
            </spPr>
          </marker>
          <cat>
            <numRef>
              <f>'Charts data (helper)'!$N$234:$N$243</f>
            </numRef>
          </cat>
          <val>
            <numRef>
              <f>'Charts data (helper)'!$P$234:$P$243</f>
            </numRef>
          </val>
        </ser>
        <ser>
          <idx val="2"/>
          <order val="2"/>
          <tx>
            <strRef>
              <f>Charts!$A$6</f>
            </strRef>
          </tx>
          <spPr>
            <a:ln xmlns:a="http://schemas.openxmlformats.org/drawingml/2006/main">
              <a:prstDash val="solid"/>
            </a:ln>
          </spPr>
          <marker>
            <symbol val="none"/>
            <spPr>
              <a:ln xmlns:a="http://schemas.openxmlformats.org/drawingml/2006/main">
                <a:prstDash val="solid"/>
              </a:ln>
            </spPr>
          </marker>
          <cat>
            <numRef>
              <f>'Charts data (helper)'!$N$234:$N$243</f>
            </numRef>
          </cat>
          <val>
            <numRef>
              <f>'Charts data (helper)'!$Q$234:$Q$243</f>
            </numRef>
          </val>
        </ser>
        <ser>
          <idx val="3"/>
          <order val="3"/>
          <tx>
            <strRef>
              <f>Charts!$A$7</f>
            </strRef>
          </tx>
          <spPr>
            <a:ln xmlns:a="http://schemas.openxmlformats.org/drawingml/2006/main">
              <a:prstDash val="solid"/>
            </a:ln>
          </spPr>
          <marker>
            <symbol val="none"/>
            <spPr>
              <a:ln xmlns:a="http://schemas.openxmlformats.org/drawingml/2006/main">
                <a:prstDash val="solid"/>
              </a:ln>
            </spPr>
          </marker>
          <cat>
            <numRef>
              <f>'Charts data (helper)'!$N$234:$N$243</f>
            </numRef>
          </cat>
          <val>
            <numRef>
              <f>'Charts data (helper)'!$R$234:$R$243</f>
            </numRef>
          </val>
        </ser>
        <ser>
          <idx val="4"/>
          <order val="4"/>
          <tx>
            <strRef>
              <f>Charts!$A$8</f>
            </strRef>
          </tx>
          <spPr>
            <a:ln xmlns:a="http://schemas.openxmlformats.org/drawingml/2006/main">
              <a:prstDash val="solid"/>
            </a:ln>
          </spPr>
          <marker>
            <symbol val="none"/>
            <spPr>
              <a:ln xmlns:a="http://schemas.openxmlformats.org/drawingml/2006/main">
                <a:prstDash val="solid"/>
              </a:ln>
            </spPr>
          </marker>
          <cat>
            <numRef>
              <f>'Charts data (helper)'!$N$234:$N$243</f>
            </numRef>
          </cat>
          <val>
            <numRef>
              <f>'Charts data (helper)'!$S$234:$S$243</f>
            </numRef>
          </val>
        </ser>
        <ser>
          <idx val="5"/>
          <order val="5"/>
          <tx>
            <strRef>
              <f>Charts!$A$9</f>
            </strRef>
          </tx>
          <spPr>
            <a:ln xmlns:a="http://schemas.openxmlformats.org/drawingml/2006/main">
              <a:prstDash val="solid"/>
            </a:ln>
          </spPr>
          <marker>
            <symbol val="none"/>
            <spPr>
              <a:ln xmlns:a="http://schemas.openxmlformats.org/drawingml/2006/main">
                <a:prstDash val="solid"/>
              </a:ln>
            </spPr>
          </marker>
          <cat>
            <numRef>
              <f>'Charts data (helper)'!$N$234:$N$243</f>
            </numRef>
          </cat>
          <val>
            <numRef>
              <f>'Charts data (helper)'!$T$234:$T$243</f>
            </numRef>
          </val>
        </ser>
        <ser>
          <idx val="6"/>
          <order val="6"/>
          <tx>
            <strRef>
              <f>Charts!$A$10</f>
            </strRef>
          </tx>
          <spPr>
            <a:ln xmlns:a="http://schemas.openxmlformats.org/drawingml/2006/main">
              <a:prstDash val="solid"/>
            </a:ln>
          </spPr>
          <marker>
            <symbol val="none"/>
            <spPr>
              <a:ln xmlns:a="http://schemas.openxmlformats.org/drawingml/2006/main">
                <a:prstDash val="solid"/>
              </a:ln>
            </spPr>
          </marker>
          <cat>
            <numRef>
              <f>'Charts data (helper)'!$N$234:$N$243</f>
            </numRef>
          </cat>
          <val>
            <numRef>
              <f>'Charts data (helper)'!$U$234:$U$243</f>
            </numRef>
          </val>
        </ser>
        <ser>
          <idx val="7"/>
          <order val="7"/>
          <tx>
            <strRef>
              <f>Charts!$A$11</f>
            </strRef>
          </tx>
          <spPr>
            <a:ln xmlns:a="http://schemas.openxmlformats.org/drawingml/2006/main">
              <a:prstDash val="solid"/>
            </a:ln>
          </spPr>
          <marker>
            <symbol val="none"/>
            <spPr>
              <a:ln xmlns:a="http://schemas.openxmlformats.org/drawingml/2006/main">
                <a:prstDash val="solid"/>
              </a:ln>
            </spPr>
          </marker>
          <cat>
            <numRef>
              <f>'Charts data (helper)'!$N$234:$N$243</f>
            </numRef>
          </cat>
          <val>
            <numRef>
              <f>'Charts data (helper)'!$V$234:$V$243</f>
            </numRef>
          </val>
        </ser>
        <ser>
          <idx val="8"/>
          <order val="8"/>
          <tx>
            <strRef>
              <f>Charts!$A$12</f>
            </strRef>
          </tx>
          <spPr>
            <a:ln xmlns:a="http://schemas.openxmlformats.org/drawingml/2006/main">
              <a:prstDash val="solid"/>
            </a:ln>
          </spPr>
          <marker>
            <symbol val="none"/>
            <spPr>
              <a:ln xmlns:a="http://schemas.openxmlformats.org/drawingml/2006/main">
                <a:prstDash val="solid"/>
              </a:ln>
            </spPr>
          </marker>
          <cat>
            <numRef>
              <f>'Charts data (helper)'!$N$234:$N$243</f>
            </numRef>
          </cat>
          <val>
            <numRef>
              <f>'Charts data (helper)'!$W$234:$W$243</f>
            </numRef>
          </val>
        </ser>
        <ser>
          <idx val="9"/>
          <order val="9"/>
          <tx>
            <strRef>
              <f>Charts!$A$13</f>
            </strRef>
          </tx>
          <spPr>
            <a:ln xmlns:a="http://schemas.openxmlformats.org/drawingml/2006/main">
              <a:prstDash val="solid"/>
            </a:ln>
          </spPr>
          <marker>
            <symbol val="none"/>
            <spPr>
              <a:ln xmlns:a="http://schemas.openxmlformats.org/drawingml/2006/main">
                <a:prstDash val="solid"/>
              </a:ln>
            </spPr>
          </marker>
          <cat>
            <numRef>
              <f>'Charts data (helper)'!$N$234:$N$243</f>
            </numRef>
          </cat>
          <val>
            <numRef>
              <f>'Charts data (helper)'!$X$234:$X$243</f>
            </numRef>
          </val>
        </ser>
        <axId val="10"/>
        <axId val="100"/>
      </lineChart>
      <catAx>
        <axId val="10"/>
        <scaling>
          <orientation val="minMax"/>
        </scaling>
        <axPos val="l"/>
        <title>
          <tx>
            <rich>
              <a:bodyPr xmlns:a="http://schemas.openxmlformats.org/drawingml/2006/main"/>
              <a:p xmlns:a="http://schemas.openxmlformats.org/drawingml/2006/main">
                <a:pPr>
                  <a:defRPr/>
                </a:pPr>
                <a:r>
                  <a:t>real discount rate = market opportunity cost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per mile</a:t>
                </a:r>
              </a:p>
            </rich>
          </tx>
        </title>
        <majorTickMark val="none"/>
        <minorTickMark val="none"/>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9) How much do we actually know? — median $/mi + 90% outcome band (bars that overlap = a statistical tie)</a:t>
            </a:r>
          </a:p>
        </rich>
      </tx>
    </title>
    <plotArea>
      <barChart>
        <barDir val="bar"/>
        <grouping val="stacked"/>
        <ser>
          <idx val="0"/>
          <order val="0"/>
          <tx>
            <strRef>
              <f>'Charts data (helper)'!EX3</f>
            </strRef>
          </tx>
          <spPr>
            <a:solidFill xmlns:a="http://schemas.openxmlformats.org/drawingml/2006/main">
              <a:srgbClr val="FFFFFF"/>
            </a:solidFill>
            <a:ln xmlns:a="http://schemas.openxmlformats.org/drawingml/2006/main">
              <a:noFill/>
              <a:prstDash val="solid"/>
            </a:ln>
          </spPr>
          <cat>
            <numRef>
              <f>'Charts data (helper)'!$EW$4:$EW$28</f>
            </numRef>
          </cat>
          <val>
            <numRef>
              <f>'Charts data (helper)'!$EX$4:$EX$28</f>
            </numRef>
          </val>
        </ser>
        <ser>
          <idx val="1"/>
          <order val="1"/>
          <tx>
            <strRef>
              <f>'Charts data (helper)'!EY3</f>
            </strRef>
          </tx>
          <spPr>
            <a:solidFill xmlns:a="http://schemas.openxmlformats.org/drawingml/2006/main">
              <a:srgbClr val="9DC3E6"/>
            </a:solidFill>
            <a:ln xmlns:a="http://schemas.openxmlformats.org/drawingml/2006/main">
              <a:prstDash val="solid"/>
            </a:ln>
          </spPr>
          <cat>
            <numRef>
              <f>'Charts data (helper)'!$EW$4:$EW$28</f>
            </numRef>
          </cat>
          <val>
            <numRef>
              <f>'Charts data (helper)'!$EY$4:$EY$28</f>
            </numRef>
          </val>
        </ser>
        <ser>
          <idx val="2"/>
          <order val="2"/>
          <tx>
            <strRef>
              <f>'Charts data (helper)'!EZ3</f>
            </strRef>
          </tx>
          <spPr>
            <a:solidFill xmlns:a="http://schemas.openxmlformats.org/drawingml/2006/main">
              <a:srgbClr val="2E75B6"/>
            </a:solidFill>
            <a:ln xmlns:a="http://schemas.openxmlformats.org/drawingml/2006/main">
              <a:prstDash val="solid"/>
            </a:ln>
          </spPr>
          <cat>
            <numRef>
              <f>'Charts data (helper)'!$EW$4:$EW$28</f>
            </numRef>
          </cat>
          <val>
            <numRef>
              <f>'Charts data (helper)'!$EZ$4:$EZ$28</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 per mile   (each bar = P05 → median → P95; the left white part is just an offset, ignore it)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chart" Target="/xl/charts/chart6.xml" Id="rId4"/><Relationship Type="http://schemas.openxmlformats.org/officeDocument/2006/relationships/chart" Target="/xl/charts/chart7.xml" Id="rId5"/><Relationship Type="http://schemas.openxmlformats.org/officeDocument/2006/relationships/chart" Target="/xl/charts/chart8.xml" Id="rId6"/><Relationship Type="http://schemas.openxmlformats.org/officeDocument/2006/relationships/chart" Target="/xl/charts/chart9.xml" Id="rId7"/><Relationship Type="http://schemas.openxmlformats.org/officeDocument/2006/relationships/chart" Target="/xl/charts/chart10.xml" Id="rId8"/><Relationship Type="http://schemas.openxmlformats.org/officeDocument/2006/relationships/chart" Target="/xl/charts/chart11.xml" Id="rId9"/></Relationships>
</file>

<file path=xl/drawings/drawing1.xml><?xml version="1.0" encoding="utf-8"?>
<wsDr xmlns="http://schemas.openxmlformats.org/drawingml/2006/spreadsheetDrawing">
  <oneCellAnchor>
    <from>
      <col>0</col>
      <colOff>0</colOff>
      <row>5</row>
      <rowOff>0</rowOff>
    </from>
    <ext cx="936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38</row>
      <rowOff>0</rowOff>
    </from>
    <ext cx="9360000" cy="54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14</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41</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68</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95</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122</row>
      <rowOff>0</rowOff>
    </from>
    <ext cx="8640000" cy="46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0</col>
      <colOff>0</colOff>
      <row>149</row>
      <rowOff>0</rowOff>
    </from>
    <ext cx="8640000" cy="46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0</col>
      <colOff>0</colOff>
      <row>176</row>
      <rowOff>0</rowOff>
    </from>
    <ext cx="8640000" cy="46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0</col>
      <colOff>0</colOff>
      <row>203</row>
      <rowOff>0</rowOff>
    </from>
    <ext cx="8640000" cy="46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0</col>
      <colOff>0</colOff>
      <row>230</row>
      <rowOff>0</rowOff>
    </from>
    <ext cx="9360000" cy="792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ars.com/shopping/results/?stock_type=used&amp;makes[]=chevrolet&amp;models[]=chevrolet-bolt_ev&amp;maximum_distance=250&amp;zip=93720&amp;list_price_min=13500&amp;list_price_max=18000&amp;mileage_min=25000&amp;mileage_max=55000" TargetMode="External" Id="rId1"/><Relationship Type="http://schemas.openxmlformats.org/officeDocument/2006/relationships/hyperlink" Target="https://www.cars.com/shopping/results/?stock_type=used&amp;makes[]=chevrolet&amp;models[]=chevrolet-bolt_ev&amp;maximum_distance=250&amp;zip=93720&amp;list_price_min=12500&amp;list_price_max=17000&amp;mileage_min=45000&amp;mileage_max=75000" TargetMode="External" Id="rId2"/><Relationship Type="http://schemas.openxmlformats.org/officeDocument/2006/relationships/hyperlink" Target="https://www.cars.com/shopping/results/?stock_type=used&amp;makes[]=chevrolet&amp;models[]=chevrolet-bolt_ev&amp;maximum_distance=250&amp;zip=93720&amp;list_price_min=11500&amp;list_price_max=16000&amp;mileage_min=65000&amp;mileage_max=95000" TargetMode="External" Id="rId3"/><Relationship Type="http://schemas.openxmlformats.org/officeDocument/2006/relationships/hyperlink" Target="https://www.cars.com/shopping/results/?stock_type=used&amp;makes[]=chevrolet&amp;models[]=chevrolet-bolt_ev&amp;maximum_distance=250&amp;zip=93720&amp;list_price_min=11000&amp;list_price_max=15000&amp;mileage_min=85000&amp;mileage_max=115000" TargetMode="External" Id="rId4"/><Relationship Type="http://schemas.openxmlformats.org/officeDocument/2006/relationships/hyperlink" Target="https://www.cars.com/shopping/results/?stock_type=used&amp;makes[]=chevrolet&amp;models[]=chevrolet-bolt_ev&amp;maximum_distance=250&amp;zip=93720&amp;list_price_min=10500&amp;list_price_max=14000&amp;mileage_min=105000&amp;mileage_max=135000" TargetMode="External" Id="rId5"/><Relationship Type="http://schemas.openxmlformats.org/officeDocument/2006/relationships/hyperlink" Target="https://www.cars.com/shopping/results/?stock_type=used&amp;makes[]=chevrolet&amp;models[]=chevrolet-bolt_ev&amp;maximum_distance=250&amp;zip=93720&amp;list_price_min=13000&amp;list_price_max=17500" TargetMode="External" Id="rId6"/><Relationship Type="http://schemas.openxmlformats.org/officeDocument/2006/relationships/hyperlink" Target="https://www.cars.com/shopping/results/?stock_type=used&amp;makes[]=chevrolet&amp;models[]=chevrolet-volt&amp;maximum_distance=250&amp;zip=93720&amp;list_price_min=10500&amp;list_price_max=14000&amp;mileage_min=85000&amp;mileage_max=115000" TargetMode="External" Id="rId7"/><Relationship Type="http://schemas.openxmlformats.org/officeDocument/2006/relationships/hyperlink" Target="https://www.cars.com/shopping/results/?stock_type=used&amp;makes[]=chevrolet&amp;models[]=chevrolet-volt&amp;maximum_distance=250&amp;zip=93720&amp;list_price_min=9500&amp;list_price_max=13000&amp;mileage_min=105000&amp;mileage_max=135000" TargetMode="External" Id="rId8"/><Relationship Type="http://schemas.openxmlformats.org/officeDocument/2006/relationships/hyperlink" Target="https://www.cars.com/shopping/results/?stock_type=used&amp;makes[]=chevrolet&amp;models[]=chevrolet-volt&amp;maximum_distance=250&amp;zip=93720&amp;list_price_min=12500&amp;list_price_max=17000" TargetMode="External" Id="rId9"/><Relationship Type="http://schemas.openxmlformats.org/officeDocument/2006/relationships/hyperlink" Target="https://www.cars.com/shopping/results/?stock_type=used&amp;makes[]=toyota&amp;models[]=toyota-prius&amp;maximum_distance=250&amp;zip=93720&amp;list_price_min=23500&amp;list_price_max=32000&amp;mileage_min=0&amp;mileage_max=25000" TargetMode="External" Id="rId10"/><Relationship Type="http://schemas.openxmlformats.org/officeDocument/2006/relationships/hyperlink" Target="https://www.cars.com/shopping/results/?stock_type=used&amp;makes[]=toyota&amp;models[]=toyota-prius&amp;maximum_distance=250&amp;zip=93720&amp;list_price_min=23000&amp;list_price_max=31500&amp;mileage_min=5000&amp;mileage_max=35000" TargetMode="External" Id="rId11"/><Relationship Type="http://schemas.openxmlformats.org/officeDocument/2006/relationships/hyperlink" Target="https://www.cars.com/shopping/results/?stock_type=used&amp;makes[]=toyota&amp;models[]=toyota-prius&amp;maximum_distance=250&amp;zip=93720&amp;list_price_min=22000&amp;list_price_max=29500&amp;mileage_min=25000&amp;mileage_max=55000" TargetMode="External" Id="rId12"/><Relationship Type="http://schemas.openxmlformats.org/officeDocument/2006/relationships/hyperlink" Target="https://www.cars.com/shopping/results/?stock_type=used&amp;makes[]=toyota&amp;models[]=toyota-prius&amp;maximum_distance=250&amp;zip=93720&amp;list_price_min=20500&amp;list_price_max=28000&amp;mileage_min=45000&amp;mileage_max=75000" TargetMode="External" Id="rId13"/><Relationship Type="http://schemas.openxmlformats.org/officeDocument/2006/relationships/hyperlink" Target="https://www.cars.com/shopping/results/?stock_type=used&amp;makes[]=toyota&amp;models[]=toyota-prius&amp;maximum_distance=250&amp;zip=93720&amp;list_price_min=19000&amp;list_price_max=26000&amp;mileage_min=65000&amp;mileage_max=95000" TargetMode="External" Id="rId14"/><Relationship Type="http://schemas.openxmlformats.org/officeDocument/2006/relationships/hyperlink" Target="https://www.cars.com/shopping/results/?stock_type=used&amp;makes[]=toyota&amp;models[]=toyota-prius&amp;maximum_distance=250&amp;zip=93720&amp;list_price_min=17000&amp;list_price_max=23000&amp;mileage_min=85000&amp;mileage_max=115000" TargetMode="External" Id="rId15"/><Relationship Type="http://schemas.openxmlformats.org/officeDocument/2006/relationships/hyperlink" Target="https://www.cars.com/shopping/results/?stock_type=used&amp;makes[]=toyota&amp;models[]=toyota-prius&amp;maximum_distance=250&amp;zip=93720&amp;list_price_min=14500&amp;list_price_max=19500&amp;mileage_min=105000&amp;mileage_max=135000" TargetMode="External" Id="rId16"/><Relationship Type="http://schemas.openxmlformats.org/officeDocument/2006/relationships/hyperlink" Target="https://www.cars.com/shopping/results/?stock_type=used&amp;makes[]=toyota&amp;models[]=toyota-prius&amp;maximum_distance=250&amp;zip=93720&amp;list_price_min=12000&amp;list_price_max=16500&amp;mileage_min=135000&amp;mileage_max=165000" TargetMode="External" Id="rId17"/><Relationship Type="http://schemas.openxmlformats.org/officeDocument/2006/relationships/hyperlink" Target="https://www.cars.com/shopping/results/?stock_type=used&amp;makes[]=toyota&amp;models[]=toyota-prius&amp;maximum_distance=250&amp;zip=93720&amp;list_price_min=10000&amp;list_price_max=14000&amp;mileage_min=165000&amp;mileage_max=195000" TargetMode="External" Id="rId18"/><Relationship Type="http://schemas.openxmlformats.org/officeDocument/2006/relationships/hyperlink" Target="https://www.cars.com/shopping/results/?stock_type=used&amp;makes[]=toyota&amp;models[]=toyota-prius&amp;maximum_distance=250&amp;zip=93720&amp;list_price_min=22000&amp;list_price_max=29500" TargetMode="External" Id="rId19"/><Relationship Type="http://schemas.openxmlformats.org/officeDocument/2006/relationships/hyperlink" Target="https://www.cars.com/shopping/results/?stock_type=used&amp;makes[]=toyota&amp;models[]=toyota-prius_prime&amp;maximum_distance=250&amp;zip=93720&amp;list_price_min=25500&amp;list_price_max=34500&amp;mileage_min=0&amp;mileage_max=25000" TargetMode="External" Id="rId20"/><Relationship Type="http://schemas.openxmlformats.org/officeDocument/2006/relationships/hyperlink" Target="https://www.cars.com/shopping/results/?stock_type=used&amp;makes[]=toyota&amp;models[]=toyota-prius_prime&amp;maximum_distance=250&amp;zip=93720&amp;list_price_min=23500&amp;list_price_max=32000&amp;mileage_min=5000&amp;mileage_max=35000" TargetMode="External" Id="rId21"/><Relationship Type="http://schemas.openxmlformats.org/officeDocument/2006/relationships/hyperlink" Target="https://www.cars.com/shopping/results/?stock_type=used&amp;makes[]=toyota&amp;models[]=toyota-prius_prime&amp;maximum_distance=250&amp;zip=93720&amp;list_price_min=18500&amp;list_price_max=25500&amp;mileage_min=25000&amp;mileage_max=55000" TargetMode="External" Id="rId22"/><Relationship Type="http://schemas.openxmlformats.org/officeDocument/2006/relationships/hyperlink" Target="https://www.cars.com/shopping/results/?stock_type=used&amp;makes[]=toyota&amp;models[]=toyota-prius_prime&amp;maximum_distance=250&amp;zip=93720&amp;list_price_min=16000&amp;list_price_max=21500&amp;mileage_min=45000&amp;mileage_max=75000" TargetMode="External" Id="rId23"/><Relationship Type="http://schemas.openxmlformats.org/officeDocument/2006/relationships/hyperlink" Target="https://www.cars.com/shopping/results/?stock_type=used&amp;makes[]=toyota&amp;models[]=toyota-prius_prime&amp;maximum_distance=250&amp;zip=93720&amp;list_price_min=13500&amp;list_price_max=18500&amp;mileage_min=65000&amp;mileage_max=95000" TargetMode="External" Id="rId24"/><Relationship Type="http://schemas.openxmlformats.org/officeDocument/2006/relationships/hyperlink" Target="https://www.cars.com/shopping/results/?stock_type=used&amp;makes[]=toyota&amp;models[]=toyota-prius_prime&amp;maximum_distance=250&amp;zip=93720&amp;list_price_min=12000&amp;list_price_max=16000&amp;mileage_min=85000&amp;mileage_max=115000" TargetMode="External" Id="rId25"/><Relationship Type="http://schemas.openxmlformats.org/officeDocument/2006/relationships/hyperlink" Target="https://www.cars.com/shopping/results/?stock_type=used&amp;makes[]=toyota&amp;models[]=toyota-prius_prime&amp;maximum_distance=250&amp;zip=93720&amp;list_price_min=11000&amp;list_price_max=14500&amp;mileage_min=105000&amp;mileage_max=135000" TargetMode="External" Id="rId26"/><Relationship Type="http://schemas.openxmlformats.org/officeDocument/2006/relationships/hyperlink" Target="https://www.cars.com/shopping/results/?stock_type=used&amp;makes[]=toyota&amp;models[]=toyota-prius_prime&amp;maximum_distance=250&amp;zip=93720&amp;list_price_min=12500&amp;list_price_max=17000" TargetMode="External" Id="rId27"/><Relationship Type="http://schemas.openxmlformats.org/officeDocument/2006/relationships/hyperlink" Target="https://www.cars.com/shopping/results/?stock_type=used&amp;makes[]=toyota&amp;models[]=toyota-corolla&amp;maximum_distance=250&amp;zip=93720&amp;list_price_min=20000&amp;list_price_max=27500&amp;mileage_min=0&amp;mileage_max=25000" TargetMode="External" Id="rId28"/><Relationship Type="http://schemas.openxmlformats.org/officeDocument/2006/relationships/hyperlink" Target="https://www.cars.com/shopping/results/?stock_type=used&amp;makes[]=toyota&amp;models[]=toyota-corolla&amp;maximum_distance=250&amp;zip=93720&amp;list_price_min=18000&amp;list_price_max=24500&amp;mileage_min=5000&amp;mileage_max=35000" TargetMode="External" Id="rId29"/><Relationship Type="http://schemas.openxmlformats.org/officeDocument/2006/relationships/hyperlink" Target="https://www.cars.com/shopping/results/?stock_type=used&amp;makes[]=toyota&amp;models[]=toyota-corolla&amp;maximum_distance=250&amp;zip=93720&amp;list_price_min=15500&amp;list_price_max=21500&amp;mileage_min=25000&amp;mileage_max=55000" TargetMode="External" Id="rId30"/><Relationship Type="http://schemas.openxmlformats.org/officeDocument/2006/relationships/hyperlink" Target="https://www.cars.com/shopping/results/?stock_type=used&amp;makes[]=toyota&amp;models[]=toyota-corolla&amp;maximum_distance=250&amp;zip=93720&amp;list_price_min=14500&amp;list_price_max=19500&amp;mileage_min=45000&amp;mileage_max=75000" TargetMode="External" Id="rId31"/><Relationship Type="http://schemas.openxmlformats.org/officeDocument/2006/relationships/hyperlink" Target="https://www.cars.com/shopping/results/?stock_type=used&amp;makes[]=toyota&amp;models[]=toyota-corolla&amp;maximum_distance=250&amp;zip=93720&amp;list_price_min=13500&amp;list_price_max=18500&amp;mileage_min=65000&amp;mileage_max=95000" TargetMode="External" Id="rId32"/><Relationship Type="http://schemas.openxmlformats.org/officeDocument/2006/relationships/hyperlink" Target="https://www.cars.com/shopping/results/?stock_type=used&amp;makes[]=toyota&amp;models[]=toyota-corolla&amp;maximum_distance=250&amp;zip=93720&amp;list_price_min=13000&amp;list_price_max=17500&amp;mileage_min=85000&amp;mileage_max=115000" TargetMode="External" Id="rId33"/><Relationship Type="http://schemas.openxmlformats.org/officeDocument/2006/relationships/hyperlink" Target="https://www.cars.com/shopping/results/?stock_type=used&amp;makes[]=toyota&amp;models[]=toyota-corolla&amp;maximum_distance=250&amp;zip=93720&amp;list_price_min=11500&amp;list_price_max=15500&amp;mileage_min=105000&amp;mileage_max=135000" TargetMode="External" Id="rId34"/><Relationship Type="http://schemas.openxmlformats.org/officeDocument/2006/relationships/hyperlink" Target="https://www.cars.com/shopping/results/?stock_type=used&amp;makes[]=toyota&amp;models[]=toyota-corolla&amp;maximum_distance=250&amp;zip=93720&amp;list_price_min=9500&amp;list_price_max=13000&amp;mileage_min=135000&amp;mileage_max=165000" TargetMode="External" Id="rId35"/><Relationship Type="http://schemas.openxmlformats.org/officeDocument/2006/relationships/hyperlink" Target="https://www.cars.com/shopping/results/?stock_type=used&amp;makes[]=toyota&amp;models[]=toyota-corolla&amp;maximum_distance=250&amp;zip=93720&amp;list_price_min=7500&amp;list_price_max=10500&amp;mileage_min=165000&amp;mileage_max=195000" TargetMode="External" Id="rId36"/><Relationship Type="http://schemas.openxmlformats.org/officeDocument/2006/relationships/hyperlink" Target="https://www.cars.com/shopping/results/?stock_type=used&amp;makes[]=toyota&amp;models[]=toyota-corolla&amp;maximum_distance=250&amp;zip=93720&amp;list_price_min=15000&amp;list_price_max=20000" TargetMode="External" Id="rId37"/><Relationship Type="http://schemas.openxmlformats.org/officeDocument/2006/relationships/hyperlink" Target="https://www.cars.com/shopping/results/?stock_type=used&amp;makes[]=toyota&amp;models[]=toyota-camry_hybrid&amp;maximum_distance=250&amp;zip=93720&amp;list_price_min=26000&amp;list_price_max=35500&amp;mileage_min=0&amp;mileage_max=25000" TargetMode="External" Id="rId38"/><Relationship Type="http://schemas.openxmlformats.org/officeDocument/2006/relationships/hyperlink" Target="https://www.cars.com/shopping/results/?stock_type=used&amp;makes[]=toyota&amp;models[]=toyota-camry_hybrid&amp;maximum_distance=250&amp;zip=93720&amp;list_price_min=24500&amp;list_price_max=33000&amp;mileage_min=5000&amp;mileage_max=35000" TargetMode="External" Id="rId39"/><Relationship Type="http://schemas.openxmlformats.org/officeDocument/2006/relationships/hyperlink" Target="https://www.cars.com/shopping/results/?stock_type=used&amp;makes[]=toyota&amp;models[]=toyota-camry_hybrid&amp;maximum_distance=250&amp;zip=93720&amp;list_price_min=18500&amp;list_price_max=25000&amp;mileage_min=25000&amp;mileage_max=55000" TargetMode="External" Id="rId40"/><Relationship Type="http://schemas.openxmlformats.org/officeDocument/2006/relationships/hyperlink" Target="https://www.cars.com/shopping/results/?stock_type=used&amp;makes[]=toyota&amp;models[]=toyota-camry_hybrid&amp;maximum_distance=250&amp;zip=93720&amp;list_price_min=15500&amp;list_price_max=21500&amp;mileage_min=45000&amp;mileage_max=75000" TargetMode="External" Id="rId41"/><Relationship Type="http://schemas.openxmlformats.org/officeDocument/2006/relationships/hyperlink" Target="https://www.cars.com/shopping/results/?stock_type=used&amp;makes[]=toyota&amp;models[]=toyota-camry_hybrid&amp;maximum_distance=250&amp;zip=93720&amp;list_price_min=14000&amp;list_price_max=18500&amp;mileage_min=65000&amp;mileage_max=95000" TargetMode="External" Id="rId42"/><Relationship Type="http://schemas.openxmlformats.org/officeDocument/2006/relationships/hyperlink" Target="https://www.cars.com/shopping/results/?stock_type=used&amp;makes[]=toyota&amp;models[]=toyota-camry_hybrid&amp;maximum_distance=250&amp;zip=93720&amp;list_price_min=13000&amp;list_price_max=17500&amp;mileage_min=85000&amp;mileage_max=115000" TargetMode="External" Id="rId43"/><Relationship Type="http://schemas.openxmlformats.org/officeDocument/2006/relationships/hyperlink" Target="https://www.cars.com/shopping/results/?stock_type=used&amp;makes[]=toyota&amp;models[]=toyota-camry_hybrid&amp;maximum_distance=250&amp;zip=93720&amp;list_price_min=12000&amp;list_price_max=16000&amp;mileage_min=105000&amp;mileage_max=135000" TargetMode="External" Id="rId44"/><Relationship Type="http://schemas.openxmlformats.org/officeDocument/2006/relationships/hyperlink" Target="https://www.cars.com/shopping/results/?stock_type=used&amp;makes[]=toyota&amp;models[]=toyota-camry_hybrid&amp;maximum_distance=250&amp;zip=93720&amp;list_price_min=10000&amp;list_price_max=14000&amp;mileage_min=135000&amp;mileage_max=165000" TargetMode="External" Id="rId45"/><Relationship Type="http://schemas.openxmlformats.org/officeDocument/2006/relationships/hyperlink" Target="https://www.cars.com/shopping/results/?stock_type=used&amp;makes[]=toyota&amp;models[]=toyota-camry_hybrid&amp;maximum_distance=250&amp;zip=93720&amp;list_price_min=8500&amp;list_price_max=11500&amp;mileage_min=165000&amp;mileage_max=195000" TargetMode="External" Id="rId46"/><Relationship Type="http://schemas.openxmlformats.org/officeDocument/2006/relationships/hyperlink" Target="https://www.cars.com/shopping/results/?stock_type=used&amp;makes[]=toyota&amp;models[]=toyota-camry_hybrid&amp;maximum_distance=250&amp;zip=93720&amp;list_price_min=14000&amp;list_price_max=18500" TargetMode="External" Id="rId47"/><Relationship Type="http://schemas.openxmlformats.org/officeDocument/2006/relationships/hyperlink" Target="https://www.cars.com/shopping/results/?stock_type=used&amp;makes[]=honda&amp;models[]=honda-civic&amp;maximum_distance=250&amp;zip=93720&amp;list_price_min=21000&amp;list_price_max=28500&amp;mileage_min=0&amp;mileage_max=25000" TargetMode="External" Id="rId48"/><Relationship Type="http://schemas.openxmlformats.org/officeDocument/2006/relationships/hyperlink" Target="https://www.cars.com/shopping/results/?stock_type=used&amp;makes[]=honda&amp;models[]=honda-civic&amp;maximum_distance=250&amp;zip=93720&amp;list_price_min=20500&amp;list_price_max=28000&amp;mileage_min=5000&amp;mileage_max=35000" TargetMode="External" Id="rId49"/><Relationship Type="http://schemas.openxmlformats.org/officeDocument/2006/relationships/hyperlink" Target="https://www.cars.com/shopping/results/?stock_type=used&amp;makes[]=honda&amp;models[]=honda-civic&amp;maximum_distance=250&amp;zip=93720&amp;list_price_min=19500&amp;list_price_max=27000&amp;mileage_min=25000&amp;mileage_max=55000" TargetMode="External" Id="rId50"/><Relationship Type="http://schemas.openxmlformats.org/officeDocument/2006/relationships/hyperlink" Target="https://www.cars.com/shopping/results/?stock_type=used&amp;makes[]=honda&amp;models[]=honda-civic&amp;maximum_distance=250&amp;zip=93720&amp;list_price_min=19000&amp;list_price_max=25500&amp;mileage_min=45000&amp;mileage_max=75000" TargetMode="External" Id="rId51"/><Relationship Type="http://schemas.openxmlformats.org/officeDocument/2006/relationships/hyperlink" Target="https://www.cars.com/shopping/results/?stock_type=used&amp;makes[]=honda&amp;models[]=honda-civic&amp;maximum_distance=250&amp;zip=93720&amp;list_price_min=17000&amp;list_price_max=23000&amp;mileage_min=65000&amp;mileage_max=95000" TargetMode="External" Id="rId52"/><Relationship Type="http://schemas.openxmlformats.org/officeDocument/2006/relationships/hyperlink" Target="https://www.cars.com/shopping/results/?stock_type=used&amp;makes[]=honda&amp;models[]=honda-civic&amp;maximum_distance=250&amp;zip=93720&amp;list_price_min=15000&amp;list_price_max=20500&amp;mileage_min=85000&amp;mileage_max=115000" TargetMode="External" Id="rId53"/><Relationship Type="http://schemas.openxmlformats.org/officeDocument/2006/relationships/hyperlink" Target="https://www.cars.com/shopping/results/?stock_type=used&amp;makes[]=honda&amp;models[]=honda-civic&amp;maximum_distance=250&amp;zip=93720&amp;list_price_min=13500&amp;list_price_max=18000&amp;mileage_min=105000&amp;mileage_max=135000" TargetMode="External" Id="rId54"/><Relationship Type="http://schemas.openxmlformats.org/officeDocument/2006/relationships/hyperlink" Target="https://www.cars.com/shopping/results/?stock_type=used&amp;makes[]=honda&amp;models[]=honda-civic&amp;maximum_distance=250&amp;zip=93720&amp;list_price_min=11000&amp;list_price_max=14500&amp;mileage_min=135000&amp;mileage_max=165000" TargetMode="External" Id="rId55"/><Relationship Type="http://schemas.openxmlformats.org/officeDocument/2006/relationships/hyperlink" Target="https://www.cars.com/shopping/results/?stock_type=used&amp;makes[]=honda&amp;models[]=honda-civic&amp;maximum_distance=250&amp;zip=93720&amp;list_price_min=8500&amp;list_price_max=11500&amp;mileage_min=165000&amp;mileage_max=195000" TargetMode="External" Id="rId56"/><Relationship Type="http://schemas.openxmlformats.org/officeDocument/2006/relationships/hyperlink" Target="https://www.cars.com/shopping/results/?stock_type=used&amp;makes[]=honda&amp;models[]=honda-civic&amp;maximum_distance=250&amp;zip=93720&amp;list_price_min=20000&amp;list_price_max=27000" TargetMode="External" Id="rId57"/><Relationship Type="http://schemas.openxmlformats.org/officeDocument/2006/relationships/hyperlink" Target="https://www.cars.com/shopping/results/?stock_type=used&amp;makes[]=nissan&amp;models[]=nissan-leaf&amp;maximum_distance=250&amp;zip=93720&amp;list_price_min=16000&amp;list_price_max=21500&amp;mileage_min=0&amp;mileage_max=25000" TargetMode="External" Id="rId58"/><Relationship Type="http://schemas.openxmlformats.org/officeDocument/2006/relationships/hyperlink" Target="https://www.cars.com/shopping/results/?stock_type=used&amp;makes[]=nissan&amp;models[]=nissan-leaf&amp;maximum_distance=250&amp;zip=93720&amp;list_price_min=14000&amp;list_price_max=19000&amp;mileage_min=5000&amp;mileage_max=35000" TargetMode="External" Id="rId59"/><Relationship Type="http://schemas.openxmlformats.org/officeDocument/2006/relationships/hyperlink" Target="https://www.cars.com/shopping/results/?stock_type=used&amp;makes[]=nissan&amp;models[]=nissan-leaf&amp;maximum_distance=250&amp;zip=93720&amp;list_price_min=10000&amp;list_price_max=13500&amp;mileage_min=25000&amp;mileage_max=55000" TargetMode="External" Id="rId60"/><Relationship Type="http://schemas.openxmlformats.org/officeDocument/2006/relationships/hyperlink" Target="https://www.cars.com/shopping/results/?stock_type=used&amp;makes[]=nissan&amp;models[]=nissan-leaf&amp;maximum_distance=250&amp;zip=93720&amp;list_price_min=9000&amp;list_price_max=12500&amp;mileage_min=45000&amp;mileage_max=75000" TargetMode="External" Id="rId61"/><Relationship Type="http://schemas.openxmlformats.org/officeDocument/2006/relationships/hyperlink" Target="https://www.cars.com/shopping/results/?stock_type=used&amp;makes[]=nissan&amp;models[]=nissan-leaf&amp;maximum_distance=250&amp;zip=93720&amp;list_price_min=8500&amp;list_price_max=11500&amp;mileage_min=65000&amp;mileage_max=95000" TargetMode="External" Id="rId62"/><Relationship Type="http://schemas.openxmlformats.org/officeDocument/2006/relationships/hyperlink" Target="https://www.cars.com/shopping/results/?stock_type=used&amp;makes[]=nissan&amp;models[]=nissan-leaf&amp;maximum_distance=250&amp;zip=93720&amp;list_price_min=7500&amp;list_price_max=10000&amp;mileage_min=85000&amp;mileage_max=115000" TargetMode="External" Id="rId63"/><Relationship Type="http://schemas.openxmlformats.org/officeDocument/2006/relationships/hyperlink" Target="https://www.cars.com/shopping/results/?stock_type=used&amp;makes[]=nissan&amp;models[]=nissan-leaf&amp;maximum_distance=250&amp;zip=93720&amp;list_price_min=9500&amp;list_price_max=13000" TargetMode="External" Id="rId64"/><Relationship Type="http://schemas.openxmlformats.org/officeDocument/2006/relationships/hyperlink" Target="https://www.cars.com/shopping/results/?stock_type=used&amp;makes[]=hyundai&amp;models[]=hyundai-elantra&amp;maximum_distance=250&amp;zip=93720&amp;list_price_min=17000&amp;list_price_max=23000&amp;mileage_min=0&amp;mileage_max=25000" TargetMode="External" Id="rId65"/><Relationship Type="http://schemas.openxmlformats.org/officeDocument/2006/relationships/hyperlink" Target="https://www.cars.com/shopping/results/?stock_type=used&amp;makes[]=hyundai&amp;models[]=hyundai-elantra&amp;maximum_distance=250&amp;zip=93720&amp;list_price_min=16000&amp;list_price_max=21500&amp;mileage_min=5000&amp;mileage_max=35000" TargetMode="External" Id="rId66"/><Relationship Type="http://schemas.openxmlformats.org/officeDocument/2006/relationships/hyperlink" Target="https://www.cars.com/shopping/results/?stock_type=used&amp;makes[]=hyundai&amp;models[]=hyundai-elantra&amp;maximum_distance=250&amp;zip=93720&amp;list_price_min=14000&amp;list_price_max=18500&amp;mileage_min=25000&amp;mileage_max=55000" TargetMode="External" Id="rId67"/><Relationship Type="http://schemas.openxmlformats.org/officeDocument/2006/relationships/hyperlink" Target="https://www.cars.com/shopping/results/?stock_type=used&amp;makes[]=hyundai&amp;models[]=hyundai-elantra&amp;maximum_distance=250&amp;zip=93720&amp;list_price_min=12000&amp;list_price_max=16500&amp;mileage_min=45000&amp;mileage_max=75000" TargetMode="External" Id="rId68"/><Relationship Type="http://schemas.openxmlformats.org/officeDocument/2006/relationships/hyperlink" Target="https://www.cars.com/shopping/results/?stock_type=used&amp;makes[]=hyundai&amp;models[]=hyundai-elantra&amp;maximum_distance=250&amp;zip=93720&amp;list_price_min=10500&amp;list_price_max=14000&amp;mileage_min=65000&amp;mileage_max=95000" TargetMode="External" Id="rId69"/><Relationship Type="http://schemas.openxmlformats.org/officeDocument/2006/relationships/hyperlink" Target="https://www.cars.com/shopping/results/?stock_type=used&amp;makes[]=hyundai&amp;models[]=hyundai-elantra&amp;maximum_distance=250&amp;zip=93720&amp;list_price_min=8500&amp;list_price_max=12000&amp;mileage_min=85000&amp;mileage_max=115000" TargetMode="External" Id="rId70"/><Relationship Type="http://schemas.openxmlformats.org/officeDocument/2006/relationships/hyperlink" Target="https://www.cars.com/shopping/results/?stock_type=used&amp;makes[]=hyundai&amp;models[]=hyundai-elantra&amp;maximum_distance=250&amp;zip=93720&amp;list_price_min=7500&amp;list_price_max=10000&amp;mileage_min=105000&amp;mileage_max=135000" TargetMode="External" Id="rId71"/><Relationship Type="http://schemas.openxmlformats.org/officeDocument/2006/relationships/hyperlink" Target="https://www.cars.com/shopping/results/?stock_type=used&amp;makes[]=hyundai&amp;models[]=hyundai-elantra&amp;maximum_distance=250&amp;zip=93720&amp;list_price_min=5500&amp;list_price_max=7500&amp;mileage_min=135000&amp;mileage_max=165000" TargetMode="External" Id="rId72"/><Relationship Type="http://schemas.openxmlformats.org/officeDocument/2006/relationships/hyperlink" Target="https://www.cars.com/shopping/results/?stock_type=used&amp;makes[]=hyundai&amp;models[]=hyundai-elantra&amp;maximum_distance=250&amp;zip=93720&amp;list_price_min=4500&amp;list_price_max=6000&amp;mileage_min=165000&amp;mileage_max=195000" TargetMode="External" Id="rId73"/><Relationship Type="http://schemas.openxmlformats.org/officeDocument/2006/relationships/hyperlink" Target="https://www.cars.com/shopping/results/?stock_type=used&amp;makes[]=hyundai&amp;models[]=hyundai-elantra&amp;maximum_distance=250&amp;zip=93720&amp;list_price_min=13500&amp;list_price_max=18000" TargetMode="External" Id="rId74"/><Relationship Type="http://schemas.openxmlformats.org/officeDocument/2006/relationships/hyperlink" Target="https://www.cars.com/shopping/results/?stock_type=used&amp;makes[]=honda&amp;models[]=honda-accord&amp;maximum_distance=250&amp;zip=93720&amp;list_price_min=23500&amp;list_price_max=32000&amp;mileage_min=0&amp;mileage_max=25000" TargetMode="External" Id="rId75"/><Relationship Type="http://schemas.openxmlformats.org/officeDocument/2006/relationships/hyperlink" Target="https://www.cars.com/shopping/results/?stock_type=used&amp;makes[]=honda&amp;models[]=honda-accord&amp;maximum_distance=250&amp;zip=93720&amp;list_price_min=21500&amp;list_price_max=29000&amp;mileage_min=5000&amp;mileage_max=35000" TargetMode="External" Id="rId76"/><Relationship Type="http://schemas.openxmlformats.org/officeDocument/2006/relationships/hyperlink" Target="https://www.cars.com/shopping/results/?stock_type=used&amp;makes[]=honda&amp;models[]=honda-accord&amp;maximum_distance=250&amp;zip=93720&amp;list_price_min=16000&amp;list_price_max=21500&amp;mileage_min=25000&amp;mileage_max=55000" TargetMode="External" Id="rId77"/><Relationship Type="http://schemas.openxmlformats.org/officeDocument/2006/relationships/hyperlink" Target="https://www.cars.com/shopping/results/?stock_type=used&amp;makes[]=honda&amp;models[]=honda-accord&amp;maximum_distance=250&amp;zip=93720&amp;list_price_min=14000&amp;list_price_max=19500&amp;mileage_min=45000&amp;mileage_max=75000" TargetMode="External" Id="rId78"/><Relationship Type="http://schemas.openxmlformats.org/officeDocument/2006/relationships/hyperlink" Target="https://www.cars.com/shopping/results/?stock_type=used&amp;makes[]=honda&amp;models[]=honda-accord&amp;maximum_distance=250&amp;zip=93720&amp;list_price_min=13000&amp;list_price_max=17500&amp;mileage_min=65000&amp;mileage_max=95000" TargetMode="External" Id="rId79"/><Relationship Type="http://schemas.openxmlformats.org/officeDocument/2006/relationships/hyperlink" Target="https://www.cars.com/shopping/results/?stock_type=used&amp;makes[]=honda&amp;models[]=honda-accord&amp;maximum_distance=250&amp;zip=93720&amp;list_price_min=11500&amp;list_price_max=16000&amp;mileage_min=85000&amp;mileage_max=115000" TargetMode="External" Id="rId80"/><Relationship Type="http://schemas.openxmlformats.org/officeDocument/2006/relationships/hyperlink" Target="https://www.cars.com/shopping/results/?stock_type=used&amp;makes[]=honda&amp;models[]=honda-accord&amp;maximum_distance=250&amp;zip=93720&amp;list_price_min=11000&amp;list_price_max=14500&amp;mileage_min=105000&amp;mileage_max=135000" TargetMode="External" Id="rId81"/><Relationship Type="http://schemas.openxmlformats.org/officeDocument/2006/relationships/hyperlink" Target="https://www.cars.com/shopping/results/?stock_type=used&amp;makes[]=honda&amp;models[]=honda-accord&amp;maximum_distance=250&amp;zip=93720&amp;list_price_min=9500&amp;list_price_max=12500&amp;mileage_min=135000&amp;mileage_max=165000" TargetMode="External" Id="rId82"/><Relationship Type="http://schemas.openxmlformats.org/officeDocument/2006/relationships/hyperlink" Target="https://www.cars.com/shopping/results/?stock_type=used&amp;makes[]=honda&amp;models[]=honda-accord&amp;maximum_distance=250&amp;zip=93720&amp;list_price_min=7500&amp;list_price_max=10000&amp;mileage_min=165000&amp;mileage_max=195000" TargetMode="External" Id="rId83"/><Relationship Type="http://schemas.openxmlformats.org/officeDocument/2006/relationships/hyperlink" Target="https://www.cars.com/shopping/results/?stock_type=used&amp;makes[]=honda&amp;models[]=honda-accord&amp;maximum_distance=250&amp;zip=93720&amp;list_price_min=13500&amp;list_price_max=18500" TargetMode="External" Id="rId84"/><Relationship Type="http://schemas.openxmlformats.org/officeDocument/2006/relationships/hyperlink" Target="https://www.cars.com/shopping/results/?stock_type=used&amp;makes[]=kia&amp;models[]=kia-k4&amp;maximum_distance=250&amp;zip=93720&amp;list_price_min=17000&amp;list_price_max=23500&amp;mileage_min=0&amp;mileage_max=25000" TargetMode="External" Id="rId85"/><Relationship Type="http://schemas.openxmlformats.org/officeDocument/2006/relationships/hyperlink" Target="https://www.cars.com/shopping/results/?stock_type=used&amp;makes[]=kia&amp;models[]=kia-k4&amp;maximum_distance=250&amp;zip=93720&amp;list_price_min=17000&amp;list_price_max=23000" TargetMode="External" Id="rId86"/><Relationship Type="http://schemas.openxmlformats.org/officeDocument/2006/relationships/hyperlink" Target="https://www.cars.com/shopping/results/?stock_type=used&amp;makes[]=mazda&amp;models[]=mazda-mazda3&amp;maximum_distance=250&amp;zip=93720&amp;list_price_min=20000&amp;list_price_max=27500&amp;mileage_min=0&amp;mileage_max=25000" TargetMode="External" Id="rId87"/><Relationship Type="http://schemas.openxmlformats.org/officeDocument/2006/relationships/hyperlink" Target="https://www.cars.com/shopping/results/?stock_type=used&amp;makes[]=mazda&amp;models[]=mazda-mazda3&amp;maximum_distance=250&amp;zip=93720&amp;list_price_min=18500&amp;list_price_max=25000&amp;mileage_min=5000&amp;mileage_max=35000" TargetMode="External" Id="rId88"/><Relationship Type="http://schemas.openxmlformats.org/officeDocument/2006/relationships/hyperlink" Target="https://www.cars.com/shopping/results/?stock_type=used&amp;makes[]=mazda&amp;models[]=mazda-mazda3&amp;maximum_distance=250&amp;zip=93720&amp;list_price_min=14000&amp;list_price_max=18500&amp;mileage_min=25000&amp;mileage_max=55000" TargetMode="External" Id="rId89"/><Relationship Type="http://schemas.openxmlformats.org/officeDocument/2006/relationships/hyperlink" Target="https://www.cars.com/shopping/results/?stock_type=used&amp;makes[]=mazda&amp;models[]=mazda-mazda3&amp;maximum_distance=250&amp;zip=93720&amp;list_price_min=13000&amp;list_price_max=17500&amp;mileage_min=45000&amp;mileage_max=75000" TargetMode="External" Id="rId90"/><Relationship Type="http://schemas.openxmlformats.org/officeDocument/2006/relationships/hyperlink" Target="https://www.cars.com/shopping/results/?stock_type=used&amp;makes[]=mazda&amp;models[]=mazda-mazda3&amp;maximum_distance=250&amp;zip=93720&amp;list_price_min=11000&amp;list_price_max=15000&amp;mileage_min=65000&amp;mileage_max=95000" TargetMode="External" Id="rId91"/><Relationship Type="http://schemas.openxmlformats.org/officeDocument/2006/relationships/hyperlink" Target="https://www.cars.com/shopping/results/?stock_type=used&amp;makes[]=mazda&amp;models[]=mazda-mazda3&amp;maximum_distance=250&amp;zip=93720&amp;list_price_min=9000&amp;list_price_max=12000&amp;mileage_min=85000&amp;mileage_max=115000" TargetMode="External" Id="rId92"/><Relationship Type="http://schemas.openxmlformats.org/officeDocument/2006/relationships/hyperlink" Target="https://www.cars.com/shopping/results/?stock_type=used&amp;makes[]=mazda&amp;models[]=mazda-mazda3&amp;maximum_distance=250&amp;zip=93720&amp;list_price_min=7000&amp;list_price_max=10000&amp;mileage_min=105000&amp;mileage_max=135000" TargetMode="External" Id="rId93"/><Relationship Type="http://schemas.openxmlformats.org/officeDocument/2006/relationships/hyperlink" Target="https://www.cars.com/shopping/results/?stock_type=used&amp;makes[]=mazda&amp;models[]=mazda-mazda3&amp;maximum_distance=250&amp;zip=93720&amp;list_price_min=5500&amp;list_price_max=8000&amp;mileage_min=135000&amp;mileage_max=165000" TargetMode="External" Id="rId94"/><Relationship Type="http://schemas.openxmlformats.org/officeDocument/2006/relationships/hyperlink" Target="https://www.cars.com/shopping/results/?stock_type=used&amp;makes[]=mazda&amp;models[]=mazda-mazda3&amp;maximum_distance=250&amp;zip=93720&amp;list_price_min=4500&amp;list_price_max=6000&amp;mileage_min=165000&amp;mileage_max=195000" TargetMode="External" Id="rId95"/><Relationship Type="http://schemas.openxmlformats.org/officeDocument/2006/relationships/hyperlink" Target="https://www.cars.com/shopping/results/?stock_type=used&amp;makes[]=mazda&amp;models[]=mazda-mazda3&amp;maximum_distance=250&amp;zip=93720&amp;list_price_min=12500&amp;list_price_max=17000" TargetMode="External" Id="rId96"/><Relationship Type="http://schemas.openxmlformats.org/officeDocument/2006/relationships/hyperlink" Target="https://www.cars.com/shopping/results/?stock_type=used&amp;makes[]=toyota&amp;models[]=toyota-camry&amp;maximum_distance=250&amp;zip=93720&amp;list_price_min=23500&amp;list_price_max=32000&amp;mileage_min=0&amp;mileage_max=25000" TargetMode="External" Id="rId97"/><Relationship Type="http://schemas.openxmlformats.org/officeDocument/2006/relationships/hyperlink" Target="https://www.cars.com/shopping/results/?stock_type=used&amp;makes[]=toyota&amp;models[]=toyota-camry&amp;maximum_distance=250&amp;zip=93720&amp;list_price_min=22500&amp;list_price_max=30500&amp;mileage_min=5000&amp;mileage_max=35000" TargetMode="External" Id="rId98"/><Relationship Type="http://schemas.openxmlformats.org/officeDocument/2006/relationships/hyperlink" Target="https://www.cars.com/shopping/results/?stock_type=used&amp;makes[]=toyota&amp;models[]=toyota-camry&amp;maximum_distance=250&amp;zip=93720&amp;list_price_min=20500&amp;list_price_max=27500&amp;mileage_min=25000&amp;mileage_max=55000" TargetMode="External" Id="rId99"/><Relationship Type="http://schemas.openxmlformats.org/officeDocument/2006/relationships/hyperlink" Target="https://www.cars.com/shopping/results/?stock_type=used&amp;makes[]=toyota&amp;models[]=toyota-camry&amp;maximum_distance=250&amp;zip=93720&amp;list_price_min=18500&amp;list_price_max=25000&amp;mileage_min=45000&amp;mileage_max=75000" TargetMode="External" Id="rId100"/><Relationship Type="http://schemas.openxmlformats.org/officeDocument/2006/relationships/hyperlink" Target="https://www.cars.com/shopping/results/?stock_type=used&amp;makes[]=toyota&amp;models[]=toyota-camry&amp;maximum_distance=250&amp;zip=93720&amp;list_price_min=16000&amp;list_price_max=22000&amp;mileage_min=65000&amp;mileage_max=95000" TargetMode="External" Id="rId101"/><Relationship Type="http://schemas.openxmlformats.org/officeDocument/2006/relationships/hyperlink" Target="https://www.cars.com/shopping/results/?stock_type=used&amp;makes[]=toyota&amp;models[]=toyota-camry&amp;maximum_distance=250&amp;zip=93720&amp;list_price_min=14000&amp;list_price_max=19500&amp;mileage_min=85000&amp;mileage_max=115000" TargetMode="External" Id="rId102"/><Relationship Type="http://schemas.openxmlformats.org/officeDocument/2006/relationships/hyperlink" Target="https://www.cars.com/shopping/results/?stock_type=used&amp;makes[]=toyota&amp;models[]=toyota-camry&amp;maximum_distance=250&amp;zip=93720&amp;list_price_min=12500&amp;list_price_max=17000&amp;mileage_min=105000&amp;mileage_max=135000" TargetMode="External" Id="rId103"/><Relationship Type="http://schemas.openxmlformats.org/officeDocument/2006/relationships/hyperlink" Target="https://www.cars.com/shopping/results/?stock_type=used&amp;makes[]=toyota&amp;models[]=toyota-camry&amp;maximum_distance=250&amp;zip=93720&amp;list_price_min=10500&amp;list_price_max=14000&amp;mileage_min=135000&amp;mileage_max=165000" TargetMode="External" Id="rId104"/><Relationship Type="http://schemas.openxmlformats.org/officeDocument/2006/relationships/hyperlink" Target="https://www.cars.com/shopping/results/?stock_type=used&amp;makes[]=toyota&amp;models[]=toyota-camry&amp;maximum_distance=250&amp;zip=93720&amp;list_price_min=8500&amp;list_price_max=11500&amp;mileage_min=165000&amp;mileage_max=195000" TargetMode="External" Id="rId105"/><Relationship Type="http://schemas.openxmlformats.org/officeDocument/2006/relationships/hyperlink" Target="https://www.cars.com/shopping/results/?stock_type=used&amp;makes[]=toyota&amp;models[]=toyota-camry&amp;maximum_distance=250&amp;zip=93720&amp;list_price_min=19000&amp;list_price_max=25500" TargetMode="External" Id="rId106"/><Relationship Type="http://schemas.openxmlformats.org/officeDocument/2006/relationships/hyperlink" Target="https://www.cars.com/shopping/results/?stock_type=used&amp;makes[]=toyota&amp;models[]=toyota-rav4_hybrid&amp;maximum_distance=250&amp;zip=93720&amp;list_price_min=28500&amp;list_price_max=39000&amp;mileage_min=0&amp;mileage_max=25000" TargetMode="External" Id="rId107"/><Relationship Type="http://schemas.openxmlformats.org/officeDocument/2006/relationships/hyperlink" Target="https://www.cars.com/shopping/results/?stock_type=used&amp;makes[]=toyota&amp;models[]=toyota-rav4_hybrid&amp;maximum_distance=250&amp;zip=93720&amp;list_price_min=28000&amp;list_price_max=37500&amp;mileage_min=5000&amp;mileage_max=35000" TargetMode="External" Id="rId108"/><Relationship Type="http://schemas.openxmlformats.org/officeDocument/2006/relationships/hyperlink" Target="https://www.cars.com/shopping/results/?stock_type=used&amp;makes[]=toyota&amp;models[]=toyota-rav4_hybrid&amp;maximum_distance=250&amp;zip=93720&amp;list_price_min=25500&amp;list_price_max=35000&amp;mileage_min=25000&amp;mileage_max=55000" TargetMode="External" Id="rId109"/><Relationship Type="http://schemas.openxmlformats.org/officeDocument/2006/relationships/hyperlink" Target="https://www.cars.com/shopping/results/?stock_type=used&amp;makes[]=toyota&amp;models[]=toyota-rav4_hybrid&amp;maximum_distance=250&amp;zip=93720&amp;list_price_min=24500&amp;list_price_max=33500&amp;mileage_min=45000&amp;mileage_max=75000" TargetMode="External" Id="rId110"/><Relationship Type="http://schemas.openxmlformats.org/officeDocument/2006/relationships/hyperlink" Target="https://www.cars.com/shopping/results/?stock_type=used&amp;makes[]=toyota&amp;models[]=toyota-rav4_hybrid&amp;maximum_distance=250&amp;zip=93720&amp;list_price_min=22500&amp;list_price_max=30500&amp;mileage_min=65000&amp;mileage_max=95000" TargetMode="External" Id="rId111"/><Relationship Type="http://schemas.openxmlformats.org/officeDocument/2006/relationships/hyperlink" Target="https://www.cars.com/shopping/results/?stock_type=used&amp;makes[]=toyota&amp;models[]=toyota-rav4_hybrid&amp;maximum_distance=250&amp;zip=93720&amp;list_price_min=20000&amp;list_price_max=27500&amp;mileage_min=85000&amp;mileage_max=115000" TargetMode="External" Id="rId112"/><Relationship Type="http://schemas.openxmlformats.org/officeDocument/2006/relationships/hyperlink" Target="https://www.cars.com/shopping/results/?stock_type=used&amp;makes[]=toyota&amp;models[]=toyota-rav4_hybrid&amp;maximum_distance=250&amp;zip=93720&amp;list_price_min=18000&amp;list_price_max=24500&amp;mileage_min=105000&amp;mileage_max=135000" TargetMode="External" Id="rId113"/><Relationship Type="http://schemas.openxmlformats.org/officeDocument/2006/relationships/hyperlink" Target="https://www.cars.com/shopping/results/?stock_type=used&amp;makes[]=toyota&amp;models[]=toyota-rav4_hybrid&amp;maximum_distance=250&amp;zip=93720&amp;list_price_min=25500&amp;list_price_max=35000" TargetMode="External" Id="rId114"/><Relationship Type="http://schemas.openxmlformats.org/officeDocument/2006/relationships/hyperlink" Target="https://www.cars.com/shopping/results/?stock_type=used&amp;makes[]=kia&amp;models[]=kia-niro&amp;maximum_distance=250&amp;zip=93720&amp;list_price_min=22000&amp;list_price_max=29500&amp;mileage_min=0&amp;mileage_max=25000" TargetMode="External" Id="rId115"/><Relationship Type="http://schemas.openxmlformats.org/officeDocument/2006/relationships/hyperlink" Target="https://www.cars.com/shopping/results/?stock_type=used&amp;makes[]=kia&amp;models[]=kia-niro&amp;maximum_distance=250&amp;zip=93720&amp;list_price_min=21000&amp;list_price_max=28500&amp;mileage_min=5000&amp;mileage_max=35000" TargetMode="External" Id="rId116"/><Relationship Type="http://schemas.openxmlformats.org/officeDocument/2006/relationships/hyperlink" Target="https://www.cars.com/shopping/results/?stock_type=used&amp;makes[]=kia&amp;models[]=kia-niro&amp;maximum_distance=250&amp;zip=93720&amp;list_price_min=17500&amp;list_price_max=24000&amp;mileage_min=25000&amp;mileage_max=55000" TargetMode="External" Id="rId117"/><Relationship Type="http://schemas.openxmlformats.org/officeDocument/2006/relationships/hyperlink" Target="https://www.cars.com/shopping/results/?stock_type=used&amp;makes[]=kia&amp;models[]=kia-niro&amp;maximum_distance=250&amp;zip=93720&amp;list_price_min=15000&amp;list_price_max=20000&amp;mileage_min=45000&amp;mileage_max=75000" TargetMode="External" Id="rId118"/><Relationship Type="http://schemas.openxmlformats.org/officeDocument/2006/relationships/hyperlink" Target="https://www.cars.com/shopping/results/?stock_type=used&amp;makes[]=kia&amp;models[]=kia-niro&amp;maximum_distance=250&amp;zip=93720&amp;list_price_min=13000&amp;list_price_max=17500&amp;mileage_min=65000&amp;mileage_max=95000" TargetMode="External" Id="rId119"/><Relationship Type="http://schemas.openxmlformats.org/officeDocument/2006/relationships/hyperlink" Target="https://www.cars.com/shopping/results/?stock_type=used&amp;makes[]=kia&amp;models[]=kia-niro&amp;maximum_distance=250&amp;zip=93720&amp;list_price_min=11000&amp;list_price_max=15000&amp;mileage_min=85000&amp;mileage_max=115000" TargetMode="External" Id="rId120"/><Relationship Type="http://schemas.openxmlformats.org/officeDocument/2006/relationships/hyperlink" Target="https://www.cars.com/shopping/results/?stock_type=used&amp;makes[]=kia&amp;models[]=kia-niro&amp;maximum_distance=250&amp;zip=93720&amp;list_price_min=9000&amp;list_price_max=12000&amp;mileage_min=105000&amp;mileage_max=135000" TargetMode="External" Id="rId121"/><Relationship Type="http://schemas.openxmlformats.org/officeDocument/2006/relationships/hyperlink" Target="https://www.cars.com/shopping/results/?stock_type=used&amp;makes[]=kia&amp;models[]=kia-niro&amp;maximum_distance=250&amp;zip=93720&amp;list_price_min=14000&amp;list_price_max=19500" TargetMode="External" Id="rId122"/><Relationship Type="http://schemas.openxmlformats.org/officeDocument/2006/relationships/hyperlink" Target="https://www.cars.com/shopping/results/?stock_type=used&amp;makes[]=tesla&amp;models[]=tesla-model_3&amp;maximum_distance=250&amp;zip=93720&amp;list_price_min=28500&amp;list_price_max=39000&amp;mileage_min=0&amp;mileage_max=25000" TargetMode="External" Id="rId123"/><Relationship Type="http://schemas.openxmlformats.org/officeDocument/2006/relationships/hyperlink" Target="https://www.cars.com/shopping/results/?stock_type=used&amp;makes[]=tesla&amp;models[]=tesla-model_3&amp;maximum_distance=250&amp;zip=93720&amp;list_price_min=27000&amp;list_price_max=37000&amp;mileage_min=5000&amp;mileage_max=35000" TargetMode="External" Id="rId124"/><Relationship Type="http://schemas.openxmlformats.org/officeDocument/2006/relationships/hyperlink" Target="https://www.cars.com/shopping/results/?stock_type=used&amp;makes[]=tesla&amp;models[]=tesla-model_3&amp;maximum_distance=250&amp;zip=93720&amp;list_price_min=21500&amp;list_price_max=29000&amp;mileage_min=25000&amp;mileage_max=55000" TargetMode="External" Id="rId125"/><Relationship Type="http://schemas.openxmlformats.org/officeDocument/2006/relationships/hyperlink" Target="https://www.cars.com/shopping/results/?stock_type=used&amp;makes[]=tesla&amp;models[]=tesla-model_3&amp;maximum_distance=250&amp;zip=93720&amp;list_price_min=18000&amp;list_price_max=24500&amp;mileage_min=45000&amp;mileage_max=75000" TargetMode="External" Id="rId126"/><Relationship Type="http://schemas.openxmlformats.org/officeDocument/2006/relationships/hyperlink" Target="https://www.cars.com/shopping/results/?stock_type=used&amp;makes[]=tesla&amp;models[]=tesla-model_3&amp;maximum_distance=250&amp;zip=93720&amp;list_price_min=17000&amp;list_price_max=23000&amp;mileage_min=65000&amp;mileage_max=95000" TargetMode="External" Id="rId127"/><Relationship Type="http://schemas.openxmlformats.org/officeDocument/2006/relationships/hyperlink" Target="https://www.cars.com/shopping/results/?stock_type=used&amp;makes[]=tesla&amp;models[]=tesla-model_3&amp;maximum_distance=250&amp;zip=93720&amp;list_price_min=15000&amp;list_price_max=20500&amp;mileage_min=85000&amp;mileage_max=115000" TargetMode="External" Id="rId128"/><Relationship Type="http://schemas.openxmlformats.org/officeDocument/2006/relationships/hyperlink" Target="https://www.cars.com/shopping/results/?stock_type=used&amp;makes[]=tesla&amp;models[]=tesla-model_3&amp;maximum_distance=250&amp;zip=93720&amp;list_price_min=18000&amp;list_price_max=24500" TargetMode="External" Id="rId129"/><Relationship Type="http://schemas.openxmlformats.org/officeDocument/2006/relationships/hyperlink" Target="https://www.cars.com/shopping/results/?stock_type=used&amp;makes[]=hyundai&amp;models[]=hyundai-sonata&amp;maximum_distance=250&amp;zip=93720&amp;list_price_min=18500&amp;list_price_max=25000&amp;mileage_min=0&amp;mileage_max=25000" TargetMode="External" Id="rId130"/><Relationship Type="http://schemas.openxmlformats.org/officeDocument/2006/relationships/hyperlink" Target="https://www.cars.com/shopping/results/?stock_type=used&amp;makes[]=hyundai&amp;models[]=hyundai-sonata&amp;maximum_distance=250&amp;zip=93720&amp;list_price_min=18000&amp;list_price_max=24000&amp;mileage_min=5000&amp;mileage_max=35000" TargetMode="External" Id="rId131"/><Relationship Type="http://schemas.openxmlformats.org/officeDocument/2006/relationships/hyperlink" Target="https://www.cars.com/shopping/results/?stock_type=used&amp;makes[]=hyundai&amp;models[]=hyundai-sonata&amp;maximum_distance=250&amp;zip=93720&amp;list_price_min=15000&amp;list_price_max=20500&amp;mileage_min=25000&amp;mileage_max=55000" TargetMode="External" Id="rId132"/><Relationship Type="http://schemas.openxmlformats.org/officeDocument/2006/relationships/hyperlink" Target="https://www.cars.com/shopping/results/?stock_type=used&amp;makes[]=hyundai&amp;models[]=hyundai-sonata&amp;maximum_distance=250&amp;zip=93720&amp;list_price_min=13000&amp;list_price_max=17500&amp;mileage_min=45000&amp;mileage_max=75000" TargetMode="External" Id="rId133"/><Relationship Type="http://schemas.openxmlformats.org/officeDocument/2006/relationships/hyperlink" Target="https://www.cars.com/shopping/results/?stock_type=used&amp;makes[]=hyundai&amp;models[]=hyundai-sonata&amp;maximum_distance=250&amp;zip=93720&amp;list_price_min=11000&amp;list_price_max=14500&amp;mileage_min=65000&amp;mileage_max=95000" TargetMode="External" Id="rId134"/><Relationship Type="http://schemas.openxmlformats.org/officeDocument/2006/relationships/hyperlink" Target="https://www.cars.com/shopping/results/?stock_type=used&amp;makes[]=hyundai&amp;models[]=hyundai-sonata&amp;maximum_distance=250&amp;zip=93720&amp;list_price_min=9000&amp;list_price_max=12500&amp;mileage_min=85000&amp;mileage_max=115000" TargetMode="External" Id="rId135"/><Relationship Type="http://schemas.openxmlformats.org/officeDocument/2006/relationships/hyperlink" Target="https://www.cars.com/shopping/results/?stock_type=used&amp;makes[]=hyundai&amp;models[]=hyundai-sonata&amp;maximum_distance=250&amp;zip=93720&amp;list_price_min=7500&amp;list_price_max=10500&amp;mileage_min=105000&amp;mileage_max=135000" TargetMode="External" Id="rId136"/><Relationship Type="http://schemas.openxmlformats.org/officeDocument/2006/relationships/hyperlink" Target="https://www.cars.com/shopping/results/?stock_type=used&amp;makes[]=hyundai&amp;models[]=hyundai-sonata&amp;maximum_distance=250&amp;zip=93720&amp;list_price_min=5500&amp;list_price_max=7500&amp;mileage_min=135000&amp;mileage_max=165000" TargetMode="External" Id="rId137"/><Relationship Type="http://schemas.openxmlformats.org/officeDocument/2006/relationships/hyperlink" Target="https://www.cars.com/shopping/results/?stock_type=used&amp;makes[]=hyundai&amp;models[]=hyundai-sonata&amp;maximum_distance=250&amp;zip=93720&amp;list_price_min=13000&amp;list_price_max=17500" TargetMode="External" Id="rId138"/><Relationship Type="http://schemas.openxmlformats.org/officeDocument/2006/relationships/hyperlink" Target="https://www.cars.com/shopping/results/?stock_type=used&amp;makes[]=toyota&amp;models[]=toyota-rav4&amp;maximum_distance=250&amp;zip=93720&amp;list_price_min=28000&amp;list_price_max=37500&amp;mileage_min=0&amp;mileage_max=25000" TargetMode="External" Id="rId139"/><Relationship Type="http://schemas.openxmlformats.org/officeDocument/2006/relationships/hyperlink" Target="https://www.cars.com/shopping/results/?stock_type=used&amp;makes[]=toyota&amp;models[]=toyota-rav4&amp;maximum_distance=250&amp;zip=93720&amp;list_price_min=26000&amp;list_price_max=35500&amp;mileage_min=5000&amp;mileage_max=35000" TargetMode="External" Id="rId140"/><Relationship Type="http://schemas.openxmlformats.org/officeDocument/2006/relationships/hyperlink" Target="https://www.cars.com/shopping/results/?stock_type=used&amp;makes[]=toyota&amp;models[]=toyota-rav4&amp;maximum_distance=250&amp;zip=93720&amp;list_price_min=24000&amp;list_price_max=32500&amp;mileage_min=25000&amp;mileage_max=55000" TargetMode="External" Id="rId141"/><Relationship Type="http://schemas.openxmlformats.org/officeDocument/2006/relationships/hyperlink" Target="https://www.cars.com/shopping/results/?stock_type=used&amp;makes[]=toyota&amp;models[]=toyota-rav4&amp;maximum_distance=250&amp;zip=93720&amp;list_price_min=20500&amp;list_price_max=27500&amp;mileage_min=45000&amp;mileage_max=75000" TargetMode="External" Id="rId142"/><Relationship Type="http://schemas.openxmlformats.org/officeDocument/2006/relationships/hyperlink" Target="https://www.cars.com/shopping/results/?stock_type=used&amp;makes[]=toyota&amp;models[]=toyota-rav4&amp;maximum_distance=250&amp;zip=93720&amp;list_price_min=17500&amp;list_price_max=23500&amp;mileage_min=65000&amp;mileage_max=95000" TargetMode="External" Id="rId143"/><Relationship Type="http://schemas.openxmlformats.org/officeDocument/2006/relationships/hyperlink" Target="https://www.cars.com/shopping/results/?stock_type=used&amp;makes[]=toyota&amp;models[]=toyota-rav4&amp;maximum_distance=250&amp;zip=93720&amp;list_price_min=15000&amp;list_price_max=20500&amp;mileage_min=85000&amp;mileage_max=115000" TargetMode="External" Id="rId144"/><Relationship Type="http://schemas.openxmlformats.org/officeDocument/2006/relationships/hyperlink" Target="https://www.cars.com/shopping/results/?stock_type=used&amp;makes[]=toyota&amp;models[]=toyota-rav4&amp;maximum_distance=250&amp;zip=93720&amp;list_price_min=13500&amp;list_price_max=18000&amp;mileage_min=105000&amp;mileage_max=135000" TargetMode="External" Id="rId145"/><Relationship Type="http://schemas.openxmlformats.org/officeDocument/2006/relationships/hyperlink" Target="https://www.cars.com/shopping/results/?stock_type=used&amp;makes[]=toyota&amp;models[]=toyota-rav4&amp;maximum_distance=250&amp;zip=93720&amp;list_price_min=12000&amp;list_price_max=16500&amp;mileage_min=135000&amp;mileage_max=165000" TargetMode="External" Id="rId146"/><Relationship Type="http://schemas.openxmlformats.org/officeDocument/2006/relationships/hyperlink" Target="https://www.cars.com/shopping/results/?stock_type=used&amp;makes[]=toyota&amp;models[]=toyota-rav4&amp;maximum_distance=250&amp;zip=93720&amp;list_price_min=17500&amp;list_price_max=23500" TargetMode="External" Id="rId147"/><Relationship Type="http://schemas.openxmlformats.org/officeDocument/2006/relationships/hyperlink" Target="https://www.cars.com/shopping/results/?stock_type=used&amp;makes[]=fiat&amp;models[]=fiat-500&amp;maximum_distance=250&amp;zip=93720&amp;list_price_min=4500&amp;list_price_max=6500&amp;mileage_min=85000&amp;mileage_max=115000" TargetMode="External" Id="rId148"/><Relationship Type="http://schemas.openxmlformats.org/officeDocument/2006/relationships/hyperlink" Target="https://www.cars.com/shopping/results/?stock_type=used&amp;makes[]=fiat&amp;models[]=fiat-500&amp;maximum_distance=250&amp;zip=93720&amp;list_price_min=3500&amp;list_price_max=5000&amp;mileage_min=105000&amp;mileage_max=135000" TargetMode="External" Id="rId149"/><Relationship Type="http://schemas.openxmlformats.org/officeDocument/2006/relationships/hyperlink" Target="https://www.cars.com/shopping/results/?stock_type=used&amp;makes[]=fiat&amp;models[]=fiat-500&amp;maximum_distance=250&amp;zip=93720&amp;list_price_min=8500&amp;list_price_max=11500" TargetMode="External" Id="rId150"/><Relationship Type="http://schemas.openxmlformats.org/officeDocument/2006/relationships/hyperlink" Target="https://www.cars.com/shopping/results/?stock_type=used&amp;makes[]=honda&amp;models[]=honda-cr_v&amp;maximum_distance=250&amp;zip=93720&amp;list_price_min=26000&amp;list_price_max=35500&amp;mileage_min=0&amp;mileage_max=25000" TargetMode="External" Id="rId151"/><Relationship Type="http://schemas.openxmlformats.org/officeDocument/2006/relationships/hyperlink" Target="https://www.cars.com/shopping/results/?stock_type=used&amp;makes[]=honda&amp;models[]=honda-cr_v&amp;maximum_distance=250&amp;zip=93720&amp;list_price_min=25000&amp;list_price_max=34000&amp;mileage_min=5000&amp;mileage_max=35000" TargetMode="External" Id="rId152"/><Relationship Type="http://schemas.openxmlformats.org/officeDocument/2006/relationships/hyperlink" Target="https://www.cars.com/shopping/results/?stock_type=used&amp;makes[]=honda&amp;models[]=honda-cr_v&amp;maximum_distance=250&amp;zip=93720&amp;list_price_min=21000&amp;list_price_max=29000&amp;mileage_min=25000&amp;mileage_max=55000" TargetMode="External" Id="rId153"/><Relationship Type="http://schemas.openxmlformats.org/officeDocument/2006/relationships/hyperlink" Target="https://www.cars.com/shopping/results/?stock_type=used&amp;makes[]=honda&amp;models[]=honda-cr_v&amp;maximum_distance=250&amp;zip=93720&amp;list_price_min=18500&amp;list_price_max=25000&amp;mileage_min=45000&amp;mileage_max=75000" TargetMode="External" Id="rId154"/><Relationship Type="http://schemas.openxmlformats.org/officeDocument/2006/relationships/hyperlink" Target="https://www.cars.com/shopping/results/?stock_type=used&amp;makes[]=honda&amp;models[]=honda-cr_v&amp;maximum_distance=250&amp;zip=93720&amp;list_price_min=17000&amp;list_price_max=23000&amp;mileage_min=65000&amp;mileage_max=95000" TargetMode="External" Id="rId155"/><Relationship Type="http://schemas.openxmlformats.org/officeDocument/2006/relationships/hyperlink" Target="https://www.cars.com/shopping/results/?stock_type=used&amp;makes[]=honda&amp;models[]=honda-cr_v&amp;maximum_distance=250&amp;zip=93720&amp;list_price_min=15000&amp;list_price_max=20500&amp;mileage_min=85000&amp;mileage_max=115000" TargetMode="External" Id="rId156"/><Relationship Type="http://schemas.openxmlformats.org/officeDocument/2006/relationships/hyperlink" Target="https://www.cars.com/shopping/results/?stock_type=used&amp;makes[]=honda&amp;models[]=honda-cr_v&amp;maximum_distance=250&amp;zip=93720&amp;list_price_min=13500&amp;list_price_max=18000&amp;mileage_min=105000&amp;mileage_max=135000" TargetMode="External" Id="rId157"/><Relationship Type="http://schemas.openxmlformats.org/officeDocument/2006/relationships/hyperlink" Target="https://www.cars.com/shopping/results/?stock_type=used&amp;makes[]=honda&amp;models[]=honda-cr_v&amp;maximum_distance=250&amp;zip=93720&amp;list_price_min=11000&amp;list_price_max=15000&amp;mileage_min=135000&amp;mileage_max=165000" TargetMode="External" Id="rId158"/><Relationship Type="http://schemas.openxmlformats.org/officeDocument/2006/relationships/hyperlink" Target="https://www.cars.com/shopping/results/?stock_type=used&amp;makes[]=honda&amp;models[]=honda-cr_v&amp;maximum_distance=250&amp;zip=93720&amp;list_price_min=8500&amp;list_price_max=12000&amp;mileage_min=165000&amp;mileage_max=195000" TargetMode="External" Id="rId159"/><Relationship Type="http://schemas.openxmlformats.org/officeDocument/2006/relationships/hyperlink" Target="https://www.cars.com/shopping/results/?stock_type=used&amp;makes[]=honda&amp;models[]=honda-cr_v&amp;maximum_distance=250&amp;zip=93720&amp;list_price_min=17000&amp;list_price_max=23500" TargetMode="External" Id="rId160"/><Relationship Type="http://schemas.openxmlformats.org/officeDocument/2006/relationships/hyperlink" Target="https://www.cars.com/shopping/results/?stock_type=used&amp;makes[]=volkswagen&amp;models[]=volkswagen-id4&amp;maximum_distance=250&amp;zip=93720&amp;list_price_min=25500&amp;list_price_max=34500&amp;mileage_min=0&amp;mileage_max=25000" TargetMode="External" Id="rId161"/><Relationship Type="http://schemas.openxmlformats.org/officeDocument/2006/relationships/hyperlink" Target="https://www.cars.com/shopping/results/?stock_type=used&amp;makes[]=volkswagen&amp;models[]=volkswagen-id4&amp;maximum_distance=250&amp;zip=93720&amp;list_price_min=23500&amp;list_price_max=32000&amp;mileage_min=5000&amp;mileage_max=35000" TargetMode="External" Id="rId162"/><Relationship Type="http://schemas.openxmlformats.org/officeDocument/2006/relationships/hyperlink" Target="https://www.cars.com/shopping/results/?stock_type=used&amp;makes[]=volkswagen&amp;models[]=volkswagen-id4&amp;maximum_distance=250&amp;zip=93720&amp;list_price_min=19500&amp;list_price_max=26000&amp;mileage_min=25000&amp;mileage_max=55000" TargetMode="External" Id="rId163"/><Relationship Type="http://schemas.openxmlformats.org/officeDocument/2006/relationships/hyperlink" Target="https://www.cars.com/shopping/results/?stock_type=used&amp;makes[]=volkswagen&amp;models[]=volkswagen-id4&amp;maximum_distance=250&amp;zip=93720&amp;list_price_min=17500&amp;list_price_max=24000&amp;mileage_min=45000&amp;mileage_max=75000" TargetMode="External" Id="rId164"/><Relationship Type="http://schemas.openxmlformats.org/officeDocument/2006/relationships/hyperlink" Target="https://www.cars.com/shopping/results/?stock_type=used&amp;makes[]=volkswagen&amp;models[]=volkswagen-id4&amp;maximum_distance=250&amp;zip=93720&amp;list_price_min=19000&amp;list_price_max=25500" TargetMode="External" Id="rId165"/><Relationship Type="http://schemas.openxmlformats.org/officeDocument/2006/relationships/hyperlink" Target="https://www.cars.com/shopping/results/?stock_type=used&amp;makes[]=toyota&amp;models[]=toyota-rav4_prime&amp;maximum_distance=250&amp;zip=93720&amp;list_price_min=35500&amp;list_price_max=48000&amp;mileage_min=0&amp;mileage_max=25000" TargetMode="External" Id="rId166"/><Relationship Type="http://schemas.openxmlformats.org/officeDocument/2006/relationships/hyperlink" Target="https://www.cars.com/shopping/results/?stock_type=used&amp;makes[]=toyota&amp;models[]=toyota-rav4_prime&amp;maximum_distance=250&amp;zip=93720&amp;list_price_min=34500&amp;list_price_max=47000&amp;mileage_min=5000&amp;mileage_max=35000" TargetMode="External" Id="rId167"/><Relationship Type="http://schemas.openxmlformats.org/officeDocument/2006/relationships/hyperlink" Target="https://www.cars.com/shopping/results/?stock_type=used&amp;makes[]=toyota&amp;models[]=toyota-rav4_prime&amp;maximum_distance=250&amp;zip=93720&amp;list_price_min=31000&amp;list_price_max=42500&amp;mileage_min=25000&amp;mileage_max=55000" TargetMode="External" Id="rId168"/><Relationship Type="http://schemas.openxmlformats.org/officeDocument/2006/relationships/hyperlink" Target="https://www.cars.com/shopping/results/?stock_type=used&amp;makes[]=toyota&amp;models[]=toyota-rav4_prime&amp;maximum_distance=250&amp;zip=93720&amp;list_price_min=29000&amp;list_price_max=39000&amp;mileage_min=45000&amp;mileage_max=75000" TargetMode="External" Id="rId169"/><Relationship Type="http://schemas.openxmlformats.org/officeDocument/2006/relationships/hyperlink" Target="https://www.cars.com/shopping/results/?stock_type=used&amp;makes[]=toyota&amp;models[]=toyota-rav4_prime&amp;maximum_distance=250&amp;zip=93720&amp;list_price_min=29500&amp;list_price_max=40000" TargetMode="External" Id="rId170"/><Relationship Type="http://schemas.openxmlformats.org/officeDocument/2006/relationships/hyperlink" Target="https://www.cars.com/shopping/results/?stock_type=used&amp;makes[]=kia&amp;models[]=kia-soul&amp;maximum_distance=250&amp;zip=93720&amp;list_price_min=18500&amp;list_price_max=25000&amp;mileage_min=0&amp;mileage_max=25000" TargetMode="External" Id="rId171"/><Relationship Type="http://schemas.openxmlformats.org/officeDocument/2006/relationships/hyperlink" Target="https://www.cars.com/shopping/results/?stock_type=used&amp;makes[]=kia&amp;models[]=kia-soul&amp;maximum_distance=250&amp;zip=93720&amp;list_price_min=17000&amp;list_price_max=23000&amp;mileage_min=5000&amp;mileage_max=35000" TargetMode="External" Id="rId172"/><Relationship Type="http://schemas.openxmlformats.org/officeDocument/2006/relationships/hyperlink" Target="https://www.cars.com/shopping/results/?stock_type=used&amp;makes[]=kia&amp;models[]=kia-soul&amp;maximum_distance=250&amp;zip=93720&amp;list_price_min=14000&amp;list_price_max=18500&amp;mileage_min=25000&amp;mileage_max=55000" TargetMode="External" Id="rId173"/><Relationship Type="http://schemas.openxmlformats.org/officeDocument/2006/relationships/hyperlink" Target="https://www.cars.com/shopping/results/?stock_type=used&amp;makes[]=kia&amp;models[]=kia-soul&amp;maximum_distance=250&amp;zip=93720&amp;list_price_min=12000&amp;list_price_max=16500&amp;mileage_min=45000&amp;mileage_max=75000" TargetMode="External" Id="rId174"/><Relationship Type="http://schemas.openxmlformats.org/officeDocument/2006/relationships/hyperlink" Target="https://www.cars.com/shopping/results/?stock_type=used&amp;makes[]=kia&amp;models[]=kia-soul&amp;maximum_distance=250&amp;zip=93720&amp;list_price_min=10500&amp;list_price_max=14000&amp;mileage_min=65000&amp;mileage_max=95000" TargetMode="External" Id="rId175"/><Relationship Type="http://schemas.openxmlformats.org/officeDocument/2006/relationships/hyperlink" Target="https://www.cars.com/shopping/results/?stock_type=used&amp;makes[]=kia&amp;models[]=kia-soul&amp;maximum_distance=250&amp;zip=93720&amp;list_price_min=8500&amp;list_price_max=12000&amp;mileage_min=85000&amp;mileage_max=115000" TargetMode="External" Id="rId176"/><Relationship Type="http://schemas.openxmlformats.org/officeDocument/2006/relationships/hyperlink" Target="https://www.cars.com/shopping/results/?stock_type=used&amp;makes[]=kia&amp;models[]=kia-soul&amp;maximum_distance=250&amp;zip=93720&amp;list_price_min=7000&amp;list_price_max=9500&amp;mileage_min=105000&amp;mileage_max=135000" TargetMode="External" Id="rId177"/><Relationship Type="http://schemas.openxmlformats.org/officeDocument/2006/relationships/hyperlink" Target="https://www.cars.com/shopping/results/?stock_type=used&amp;makes[]=kia&amp;models[]=kia-soul&amp;maximum_distance=250&amp;zip=93720&amp;list_price_min=5000&amp;list_price_max=7000&amp;mileage_min=135000&amp;mileage_max=165000" TargetMode="External" Id="rId178"/><Relationship Type="http://schemas.openxmlformats.org/officeDocument/2006/relationships/hyperlink" Target="https://www.cars.com/shopping/results/?stock_type=used&amp;makes[]=kia&amp;models[]=kia-soul&amp;maximum_distance=250&amp;zip=93720&amp;list_price_min=12000&amp;list_price_max=16500" TargetMode="External" Id="rId179"/><Relationship Type="http://schemas.openxmlformats.org/officeDocument/2006/relationships/hyperlink" Target="https://www.cars.com/shopping/results/?stock_type=used&amp;makes[]=volkswagen&amp;models[]=volkswagen-passat&amp;maximum_distance=250&amp;zip=93720&amp;list_price_min=11500&amp;list_price_max=15500&amp;mileage_min=45000&amp;mileage_max=75000" TargetMode="External" Id="rId180"/><Relationship Type="http://schemas.openxmlformats.org/officeDocument/2006/relationships/hyperlink" Target="https://www.cars.com/shopping/results/?stock_type=used&amp;makes[]=volkswagen&amp;models[]=volkswagen-passat&amp;maximum_distance=250&amp;zip=93720&amp;list_price_min=9500&amp;list_price_max=13000&amp;mileage_min=65000&amp;mileage_max=95000" TargetMode="External" Id="rId181"/><Relationship Type="http://schemas.openxmlformats.org/officeDocument/2006/relationships/hyperlink" Target="https://www.cars.com/shopping/results/?stock_type=used&amp;makes[]=volkswagen&amp;models[]=volkswagen-passat&amp;maximum_distance=250&amp;zip=93720&amp;list_price_min=8000&amp;list_price_max=11000&amp;mileage_min=85000&amp;mileage_max=115000" TargetMode="External" Id="rId182"/><Relationship Type="http://schemas.openxmlformats.org/officeDocument/2006/relationships/hyperlink" Target="https://www.cars.com/shopping/results/?stock_type=used&amp;makes[]=volkswagen&amp;models[]=volkswagen-passat&amp;maximum_distance=250&amp;zip=93720&amp;list_price_min=6500&amp;list_price_max=9000&amp;mileage_min=105000&amp;mileage_max=135000" TargetMode="External" Id="rId183"/><Relationship Type="http://schemas.openxmlformats.org/officeDocument/2006/relationships/hyperlink" Target="https://www.cars.com/shopping/results/?stock_type=used&amp;makes[]=volkswagen&amp;models[]=volkswagen-passat&amp;maximum_distance=250&amp;zip=93720&amp;list_price_min=5000&amp;list_price_max=6500&amp;mileage_min=135000&amp;mileage_max=165000" TargetMode="External" Id="rId184"/><Relationship Type="http://schemas.openxmlformats.org/officeDocument/2006/relationships/hyperlink" Target="https://www.cars.com/shopping/results/?stock_type=used&amp;makes[]=volkswagen&amp;models[]=volkswagen-passat&amp;maximum_distance=250&amp;zip=93720&amp;list_price_min=12000&amp;list_price_max=16000" TargetMode="External" Id="rId185"/><Relationship Type="http://schemas.openxmlformats.org/officeDocument/2006/relationships/hyperlink" Target="https://www.cars.com/shopping/results/?stock_type=used&amp;makes[]=buick&amp;models[]=buick-encore&amp;maximum_distance=250&amp;zip=93720&amp;list_price_min=17000&amp;list_price_max=23000&amp;mileage_min=0&amp;mileage_max=25000" TargetMode="External" Id="rId186"/><Relationship Type="http://schemas.openxmlformats.org/officeDocument/2006/relationships/hyperlink" Target="https://www.cars.com/shopping/results/?stock_type=used&amp;makes[]=buick&amp;models[]=buick-encore&amp;maximum_distance=250&amp;zip=93720&amp;list_price_min=16000&amp;list_price_max=22000&amp;mileage_min=5000&amp;mileage_max=35000" TargetMode="External" Id="rId187"/><Relationship Type="http://schemas.openxmlformats.org/officeDocument/2006/relationships/hyperlink" Target="https://www.cars.com/shopping/results/?stock_type=used&amp;makes[]=buick&amp;models[]=buick-encore&amp;maximum_distance=250&amp;zip=93720&amp;list_price_min=13500&amp;list_price_max=18000&amp;mileage_min=25000&amp;mileage_max=55000" TargetMode="External" Id="rId188"/><Relationship Type="http://schemas.openxmlformats.org/officeDocument/2006/relationships/hyperlink" Target="https://www.cars.com/shopping/results/?stock_type=used&amp;makes[]=buick&amp;models[]=buick-encore&amp;maximum_distance=250&amp;zip=93720&amp;list_price_min=11500&amp;list_price_max=15500&amp;mileage_min=45000&amp;mileage_max=75000" TargetMode="External" Id="rId189"/><Relationship Type="http://schemas.openxmlformats.org/officeDocument/2006/relationships/hyperlink" Target="https://www.cars.com/shopping/results/?stock_type=used&amp;makes[]=buick&amp;models[]=buick-encore&amp;maximum_distance=250&amp;zip=93720&amp;list_price_min=9500&amp;list_price_max=13000&amp;mileage_min=65000&amp;mileage_max=95000" TargetMode="External" Id="rId190"/><Relationship Type="http://schemas.openxmlformats.org/officeDocument/2006/relationships/hyperlink" Target="https://www.cars.com/shopping/results/?stock_type=used&amp;makes[]=buick&amp;models[]=buick-encore&amp;maximum_distance=250&amp;zip=93720&amp;list_price_min=8000&amp;list_price_max=11000&amp;mileage_min=85000&amp;mileage_max=115000" TargetMode="External" Id="rId191"/><Relationship Type="http://schemas.openxmlformats.org/officeDocument/2006/relationships/hyperlink" Target="https://www.cars.com/shopping/results/?stock_type=used&amp;makes[]=buick&amp;models[]=buick-encore&amp;maximum_distance=250&amp;zip=93720&amp;list_price_min=6500&amp;list_price_max=9000&amp;mileage_min=105000&amp;mileage_max=135000" TargetMode="External" Id="rId192"/><Relationship Type="http://schemas.openxmlformats.org/officeDocument/2006/relationships/hyperlink" Target="https://www.cars.com/shopping/results/?stock_type=used&amp;makes[]=buick&amp;models[]=buick-encore&amp;maximum_distance=250&amp;zip=93720&amp;list_price_min=4500&amp;list_price_max=6000&amp;mileage_min=135000&amp;mileage_max=165000" TargetMode="External" Id="rId193"/><Relationship Type="http://schemas.openxmlformats.org/officeDocument/2006/relationships/hyperlink" Target="https://www.cars.com/shopping/results/?stock_type=used&amp;makes[]=buick&amp;models[]=buick-encore&amp;maximum_distance=250&amp;zip=93720&amp;list_price_min=12500&amp;list_price_max=17000" TargetMode="External" Id="rId194"/><Relationship Type="http://schemas.openxmlformats.org/officeDocument/2006/relationships/hyperlink" Target="https://www.cars.com/shopping/results/?stock_type=used&amp;makes[]=hyundai&amp;models[]=hyundai-kona&amp;maximum_distance=250&amp;zip=93720&amp;list_price_min=20000&amp;list_price_max=27500&amp;mileage_min=0&amp;mileage_max=25000" TargetMode="External" Id="rId195"/><Relationship Type="http://schemas.openxmlformats.org/officeDocument/2006/relationships/hyperlink" Target="https://www.cars.com/shopping/results/?stock_type=used&amp;makes[]=hyundai&amp;models[]=hyundai-kona&amp;maximum_distance=250&amp;zip=93720&amp;list_price_min=19500&amp;list_price_max=26000&amp;mileage_min=5000&amp;mileage_max=35000" TargetMode="External" Id="rId196"/><Relationship Type="http://schemas.openxmlformats.org/officeDocument/2006/relationships/hyperlink" Target="https://www.cars.com/shopping/results/?stock_type=used&amp;makes[]=hyundai&amp;models[]=hyundai-kona&amp;maximum_distance=250&amp;zip=93720&amp;list_price_min=16000&amp;list_price_max=21500&amp;mileage_min=25000&amp;mileage_max=55000" TargetMode="External" Id="rId197"/><Relationship Type="http://schemas.openxmlformats.org/officeDocument/2006/relationships/hyperlink" Target="https://www.cars.com/shopping/results/?stock_type=used&amp;makes[]=hyundai&amp;models[]=hyundai-kona&amp;maximum_distance=250&amp;zip=93720&amp;list_price_min=13000&amp;list_price_max=18000&amp;mileage_min=45000&amp;mileage_max=75000" TargetMode="External" Id="rId198"/><Relationship Type="http://schemas.openxmlformats.org/officeDocument/2006/relationships/hyperlink" Target="https://www.cars.com/shopping/results/?stock_type=used&amp;makes[]=hyundai&amp;models[]=hyundai-kona&amp;maximum_distance=250&amp;zip=93720&amp;list_price_min=11000&amp;list_price_max=15500&amp;mileage_min=65000&amp;mileage_max=95000" TargetMode="External" Id="rId199"/><Relationship Type="http://schemas.openxmlformats.org/officeDocument/2006/relationships/hyperlink" Target="https://www.cars.com/shopping/results/?stock_type=used&amp;makes[]=hyundai&amp;models[]=hyundai-kona&amp;maximum_distance=250&amp;zip=93720&amp;list_price_min=9500&amp;list_price_max=13000&amp;mileage_min=85000&amp;mileage_max=115000" TargetMode="External" Id="rId200"/><Relationship Type="http://schemas.openxmlformats.org/officeDocument/2006/relationships/hyperlink" Target="https://www.cars.com/shopping/results/?stock_type=used&amp;makes[]=hyundai&amp;models[]=hyundai-kona&amp;maximum_distance=250&amp;zip=93720&amp;list_price_min=12500&amp;list_price_max=17000" TargetMode="External" Id="rId201"/><Relationship Type="http://schemas.openxmlformats.org/officeDocument/2006/relationships/hyperlink" Target="https://www.cars.com/shopping/results/?stock_type=used&amp;makes[]=mazda&amp;models[]=mazda-cx_5&amp;maximum_distance=250&amp;zip=93720&amp;list_price_min=24500&amp;list_price_max=33000&amp;mileage_min=0&amp;mileage_max=25000" TargetMode="External" Id="rId202"/><Relationship Type="http://schemas.openxmlformats.org/officeDocument/2006/relationships/hyperlink" Target="https://www.cars.com/shopping/results/?stock_type=used&amp;makes[]=mazda&amp;models[]=mazda-cx_5&amp;maximum_distance=250&amp;zip=93720&amp;list_price_min=23500&amp;list_price_max=32000&amp;mileage_min=5000&amp;mileage_max=35000" TargetMode="External" Id="rId203"/><Relationship Type="http://schemas.openxmlformats.org/officeDocument/2006/relationships/hyperlink" Target="https://www.cars.com/shopping/results/?stock_type=used&amp;makes[]=mazda&amp;models[]=mazda-cx_5&amp;maximum_distance=250&amp;zip=93720&amp;list_price_min=20000&amp;list_price_max=27500&amp;mileage_min=25000&amp;mileage_max=55000" TargetMode="External" Id="rId204"/><Relationship Type="http://schemas.openxmlformats.org/officeDocument/2006/relationships/hyperlink" Target="https://www.cars.com/shopping/results/?stock_type=used&amp;makes[]=mazda&amp;models[]=mazda-cx_5&amp;maximum_distance=250&amp;zip=93720&amp;list_price_min=18000&amp;list_price_max=24000&amp;mileage_min=45000&amp;mileage_max=75000" TargetMode="External" Id="rId205"/><Relationship Type="http://schemas.openxmlformats.org/officeDocument/2006/relationships/hyperlink" Target="https://www.cars.com/shopping/results/?stock_type=used&amp;makes[]=mazda&amp;models[]=mazda-cx_5&amp;maximum_distance=250&amp;zip=93720&amp;list_price_min=15500&amp;list_price_max=21000&amp;mileage_min=65000&amp;mileage_max=95000" TargetMode="External" Id="rId206"/><Relationship Type="http://schemas.openxmlformats.org/officeDocument/2006/relationships/hyperlink" Target="https://www.cars.com/shopping/results/?stock_type=used&amp;makes[]=mazda&amp;models[]=mazda-cx_5&amp;maximum_distance=250&amp;zip=93720&amp;list_price_min=13000&amp;list_price_max=18000&amp;mileage_min=85000&amp;mileage_max=115000" TargetMode="External" Id="rId207"/><Relationship Type="http://schemas.openxmlformats.org/officeDocument/2006/relationships/hyperlink" Target="https://www.cars.com/shopping/results/?stock_type=used&amp;makes[]=mazda&amp;models[]=mazda-cx_5&amp;maximum_distance=250&amp;zip=93720&amp;list_price_min=11000&amp;list_price_max=14500&amp;mileage_min=105000&amp;mileage_max=135000" TargetMode="External" Id="rId208"/><Relationship Type="http://schemas.openxmlformats.org/officeDocument/2006/relationships/hyperlink" Target="https://www.cars.com/shopping/results/?stock_type=used&amp;makes[]=mazda&amp;models[]=mazda-cx_5&amp;maximum_distance=250&amp;zip=93720&amp;list_price_min=9000&amp;list_price_max=12000&amp;mileage_min=135000&amp;mileage_max=165000" TargetMode="External" Id="rId209"/><Relationship Type="http://schemas.openxmlformats.org/officeDocument/2006/relationships/hyperlink" Target="https://www.cars.com/shopping/results/?stock_type=used&amp;makes[]=mazda&amp;models[]=mazda-cx_5&amp;maximum_distance=250&amp;zip=93720&amp;list_price_min=17500&amp;list_price_max=23500" TargetMode="External" Id="rId210"/><Relationship Type="http://schemas.openxmlformats.org/officeDocument/2006/relationships/hyperlink" Target="https://www.cars.com/shopping/results/?stock_type=used&amp;makes[]=toyota&amp;models[]=toyota-highlander_hybrid&amp;maximum_distance=250&amp;zip=93720&amp;list_price_min=36500&amp;list_price_max=49000&amp;mileage_min=0&amp;mileage_max=25000" TargetMode="External" Id="rId211"/><Relationship Type="http://schemas.openxmlformats.org/officeDocument/2006/relationships/hyperlink" Target="https://www.cars.com/shopping/results/?stock_type=used&amp;makes[]=toyota&amp;models[]=toyota-highlander_hybrid&amp;maximum_distance=250&amp;zip=93720&amp;list_price_min=35500&amp;list_price_max=48000&amp;mileage_min=5000&amp;mileage_max=35000" TargetMode="External" Id="rId212"/><Relationship Type="http://schemas.openxmlformats.org/officeDocument/2006/relationships/hyperlink" Target="https://www.cars.com/shopping/results/?stock_type=used&amp;makes[]=toyota&amp;models[]=toyota-highlander_hybrid&amp;maximum_distance=250&amp;zip=93720&amp;list_price_min=31000&amp;list_price_max=42500&amp;mileage_min=25000&amp;mileage_max=55000" TargetMode="External" Id="rId213"/><Relationship Type="http://schemas.openxmlformats.org/officeDocument/2006/relationships/hyperlink" Target="https://www.cars.com/shopping/results/?stock_type=used&amp;makes[]=toyota&amp;models[]=toyota-highlander_hybrid&amp;maximum_distance=250&amp;zip=93720&amp;list_price_min=28000&amp;list_price_max=37500&amp;mileage_min=45000&amp;mileage_max=75000" TargetMode="External" Id="rId214"/><Relationship Type="http://schemas.openxmlformats.org/officeDocument/2006/relationships/hyperlink" Target="https://www.cars.com/shopping/results/?stock_type=used&amp;makes[]=toyota&amp;models[]=toyota-highlander_hybrid&amp;maximum_distance=250&amp;zip=93720&amp;list_price_min=24500&amp;list_price_max=33000&amp;mileage_min=65000&amp;mileage_max=95000" TargetMode="External" Id="rId215"/><Relationship Type="http://schemas.openxmlformats.org/officeDocument/2006/relationships/hyperlink" Target="https://www.cars.com/shopping/results/?stock_type=used&amp;makes[]=toyota&amp;models[]=toyota-highlander_hybrid&amp;maximum_distance=250&amp;zip=93720&amp;list_price_min=21500&amp;list_price_max=29000&amp;mileage_min=85000&amp;mileage_max=115000" TargetMode="External" Id="rId216"/><Relationship Type="http://schemas.openxmlformats.org/officeDocument/2006/relationships/hyperlink" Target="https://www.cars.com/shopping/results/?stock_type=used&amp;makes[]=toyota&amp;models[]=toyota-highlander_hybrid&amp;maximum_distance=250&amp;zip=93720&amp;list_price_min=18500&amp;list_price_max=25000&amp;mileage_min=105000&amp;mileage_max=135000" TargetMode="External" Id="rId217"/><Relationship Type="http://schemas.openxmlformats.org/officeDocument/2006/relationships/hyperlink" Target="https://www.cars.com/shopping/results/?stock_type=used&amp;makes[]=toyota&amp;models[]=toyota-highlander_hybrid&amp;maximum_distance=250&amp;zip=93720&amp;list_price_min=14000&amp;list_price_max=19500&amp;mileage_min=135000&amp;mileage_max=165000" TargetMode="External" Id="rId218"/><Relationship Type="http://schemas.openxmlformats.org/officeDocument/2006/relationships/hyperlink" Target="https://www.cars.com/shopping/results/?stock_type=used&amp;makes[]=toyota&amp;models[]=toyota-highlander_hybrid&amp;maximum_distance=250&amp;zip=93720&amp;list_price_min=11000&amp;list_price_max=15000&amp;mileage_min=165000&amp;mileage_max=195000" TargetMode="External" Id="rId219"/><Relationship Type="http://schemas.openxmlformats.org/officeDocument/2006/relationships/hyperlink" Target="https://www.cars.com/shopping/results/?stock_type=used&amp;makes[]=toyota&amp;models[]=toyota-highlander_hybrid&amp;maximum_distance=250&amp;zip=93720&amp;list_price_min=27000&amp;list_price_max=36500" TargetMode="External" Id="rId220"/><Relationship Type="http://schemas.openxmlformats.org/officeDocument/2006/relationships/hyperlink" Target="https://www.cars.com/shopping/results/?stock_type=used&amp;makes[]=subaru&amp;models[]=subaru-outback&amp;maximum_distance=250&amp;zip=93720&amp;list_price_min=27000&amp;list_price_max=36500&amp;mileage_min=0&amp;mileage_max=25000" TargetMode="External" Id="rId221"/><Relationship Type="http://schemas.openxmlformats.org/officeDocument/2006/relationships/hyperlink" Target="https://www.cars.com/shopping/results/?stock_type=used&amp;makes[]=subaru&amp;models[]=subaru-outback&amp;maximum_distance=250&amp;zip=93720&amp;list_price_min=25500&amp;list_price_max=35000&amp;mileage_min=5000&amp;mileage_max=35000" TargetMode="External" Id="rId222"/><Relationship Type="http://schemas.openxmlformats.org/officeDocument/2006/relationships/hyperlink" Target="https://www.cars.com/shopping/results/?stock_type=used&amp;makes[]=subaru&amp;models[]=subaru-outback&amp;maximum_distance=250&amp;zip=93720&amp;list_price_min=20500&amp;list_price_max=28000&amp;mileage_min=25000&amp;mileage_max=55000" TargetMode="External" Id="rId223"/><Relationship Type="http://schemas.openxmlformats.org/officeDocument/2006/relationships/hyperlink" Target="https://www.cars.com/shopping/results/?stock_type=used&amp;makes[]=subaru&amp;models[]=subaru-outback&amp;maximum_distance=250&amp;zip=93720&amp;list_price_min=17500&amp;list_price_max=24000&amp;mileage_min=45000&amp;mileage_max=75000" TargetMode="External" Id="rId224"/><Relationship Type="http://schemas.openxmlformats.org/officeDocument/2006/relationships/hyperlink" Target="https://www.cars.com/shopping/results/?stock_type=used&amp;makes[]=subaru&amp;models[]=subaru-outback&amp;maximum_distance=250&amp;zip=93720&amp;list_price_min=15000&amp;list_price_max=20500&amp;mileage_min=65000&amp;mileage_max=95000" TargetMode="External" Id="rId225"/><Relationship Type="http://schemas.openxmlformats.org/officeDocument/2006/relationships/hyperlink" Target="https://www.cars.com/shopping/results/?stock_type=used&amp;makes[]=subaru&amp;models[]=subaru-outback&amp;maximum_distance=250&amp;zip=93720&amp;list_price_min=13500&amp;list_price_max=18000&amp;mileage_min=85000&amp;mileage_max=115000" TargetMode="External" Id="rId226"/><Relationship Type="http://schemas.openxmlformats.org/officeDocument/2006/relationships/hyperlink" Target="https://www.cars.com/shopping/results/?stock_type=used&amp;makes[]=subaru&amp;models[]=subaru-outback&amp;maximum_distance=250&amp;zip=93720&amp;list_price_min=11500&amp;list_price_max=15500&amp;mileage_min=105000&amp;mileage_max=135000" TargetMode="External" Id="rId227"/><Relationship Type="http://schemas.openxmlformats.org/officeDocument/2006/relationships/hyperlink" Target="https://www.cars.com/shopping/results/?stock_type=used&amp;makes[]=subaru&amp;models[]=subaru-outback&amp;maximum_distance=250&amp;zip=93720&amp;list_price_min=9000&amp;list_price_max=12000&amp;mileage_min=135000&amp;mileage_max=165000" TargetMode="External" Id="rId228"/><Relationship Type="http://schemas.openxmlformats.org/officeDocument/2006/relationships/hyperlink" Target="https://www.cars.com/shopping/results/?stock_type=used&amp;makes[]=subaru&amp;models[]=subaru-outback&amp;maximum_distance=250&amp;zip=93720&amp;list_price_min=7000&amp;list_price_max=9500&amp;mileage_min=165000&amp;mileage_max=195000" TargetMode="External" Id="rId229"/><Relationship Type="http://schemas.openxmlformats.org/officeDocument/2006/relationships/hyperlink" Target="https://www.cars.com/shopping/results/?stock_type=used&amp;makes[]=subaru&amp;models[]=subaru-outback&amp;maximum_distance=250&amp;zip=93720&amp;list_price_min=15500&amp;list_price_max=21500" TargetMode="External" Id="rId230"/><Relationship Type="http://schemas.openxmlformats.org/officeDocument/2006/relationships/hyperlink" Target="https://www.cars.com/shopping/results/?stock_type=used&amp;makes[]=subaru&amp;models[]=subaru-forester&amp;maximum_distance=250&amp;zip=93720&amp;list_price_min=24500&amp;list_price_max=33000&amp;mileage_min=0&amp;mileage_max=25000" TargetMode="External" Id="rId231"/><Relationship Type="http://schemas.openxmlformats.org/officeDocument/2006/relationships/hyperlink" Target="https://www.cars.com/shopping/results/?stock_type=used&amp;makes[]=subaru&amp;models[]=subaru-forester&amp;maximum_distance=250&amp;zip=93720&amp;list_price_min=23500&amp;list_price_max=32000&amp;mileage_min=5000&amp;mileage_max=35000" TargetMode="External" Id="rId232"/><Relationship Type="http://schemas.openxmlformats.org/officeDocument/2006/relationships/hyperlink" Target="https://www.cars.com/shopping/results/?stock_type=used&amp;makes[]=subaru&amp;models[]=subaru-forester&amp;maximum_distance=250&amp;zip=93720&amp;list_price_min=20000&amp;list_price_max=27500&amp;mileage_min=25000&amp;mileage_max=55000" TargetMode="External" Id="rId233"/><Relationship Type="http://schemas.openxmlformats.org/officeDocument/2006/relationships/hyperlink" Target="https://www.cars.com/shopping/results/?stock_type=used&amp;makes[]=subaru&amp;models[]=subaru-forester&amp;maximum_distance=250&amp;zip=93720&amp;list_price_min=18000&amp;list_price_max=24500&amp;mileage_min=45000&amp;mileage_max=75000" TargetMode="External" Id="rId234"/><Relationship Type="http://schemas.openxmlformats.org/officeDocument/2006/relationships/hyperlink" Target="https://www.cars.com/shopping/results/?stock_type=used&amp;makes[]=subaru&amp;models[]=subaru-forester&amp;maximum_distance=250&amp;zip=93720&amp;list_price_min=17000&amp;list_price_max=23000&amp;mileage_min=65000&amp;mileage_max=95000" TargetMode="External" Id="rId235"/><Relationship Type="http://schemas.openxmlformats.org/officeDocument/2006/relationships/hyperlink" Target="https://www.cars.com/shopping/results/?stock_type=used&amp;makes[]=subaru&amp;models[]=subaru-forester&amp;maximum_distance=250&amp;zip=93720&amp;list_price_min=15500&amp;list_price_max=20500&amp;mileage_min=85000&amp;mileage_max=115000" TargetMode="External" Id="rId236"/><Relationship Type="http://schemas.openxmlformats.org/officeDocument/2006/relationships/hyperlink" Target="https://www.cars.com/shopping/results/?stock_type=used&amp;makes[]=subaru&amp;models[]=subaru-forester&amp;maximum_distance=250&amp;zip=93720&amp;list_price_min=12500&amp;list_price_max=17500&amp;mileage_min=105000&amp;mileage_max=135000" TargetMode="External" Id="rId237"/><Relationship Type="http://schemas.openxmlformats.org/officeDocument/2006/relationships/hyperlink" Target="https://www.cars.com/shopping/results/?stock_type=used&amp;makes[]=subaru&amp;models[]=subaru-forester&amp;maximum_distance=250&amp;zip=93720&amp;list_price_min=9500&amp;list_price_max=13000&amp;mileage_min=135000&amp;mileage_max=165000" TargetMode="External" Id="rId238"/><Relationship Type="http://schemas.openxmlformats.org/officeDocument/2006/relationships/hyperlink" Target="https://www.cars.com/shopping/results/?stock_type=used&amp;makes[]=subaru&amp;models[]=subaru-forester&amp;maximum_distance=250&amp;zip=93720&amp;list_price_min=7500&amp;list_price_max=10000&amp;mileage_min=165000&amp;mileage_max=195000" TargetMode="External" Id="rId239"/><Relationship Type="http://schemas.openxmlformats.org/officeDocument/2006/relationships/hyperlink" Target="https://www.cars.com/shopping/results/?stock_type=used&amp;makes[]=subaru&amp;models[]=subaru-forester&amp;maximum_distance=250&amp;zip=93720&amp;list_price_min=18500&amp;list_price_max=25500" TargetMode="External" Id="rId240"/><Relationship Type="http://schemas.openxmlformats.org/officeDocument/2006/relationships/hyperlink" Target="https://www.cars.com/shopping/results/?stock_type=used&amp;makes[]=toyota&amp;models[]=toyota-sienna&amp;maximum_distance=250&amp;zip=93720&amp;list_price_min=37000&amp;list_price_max=50500&amp;mileage_min=0&amp;mileage_max=25000&amp;year_min=2021" TargetMode="External" Id="rId241"/><Relationship Type="http://schemas.openxmlformats.org/officeDocument/2006/relationships/hyperlink" Target="https://www.cars.com/shopping/results/?stock_type=used&amp;makes[]=toyota&amp;models[]=toyota-sienna&amp;maximum_distance=250&amp;zip=93720&amp;list_price_min=36000&amp;list_price_max=49000&amp;mileage_min=5000&amp;mileage_max=35000&amp;year_min=2021" TargetMode="External" Id="rId242"/><Relationship Type="http://schemas.openxmlformats.org/officeDocument/2006/relationships/hyperlink" Target="https://www.cars.com/shopping/results/?stock_type=used&amp;makes[]=toyota&amp;models[]=toyota-sienna&amp;maximum_distance=250&amp;zip=93720&amp;list_price_min=32000&amp;list_price_max=43500&amp;mileage_min=25000&amp;mileage_max=55000&amp;year_min=2021" TargetMode="External" Id="rId243"/><Relationship Type="http://schemas.openxmlformats.org/officeDocument/2006/relationships/hyperlink" Target="https://www.cars.com/shopping/results/?stock_type=used&amp;makes[]=toyota&amp;models[]=toyota-sienna&amp;maximum_distance=250&amp;zip=93720&amp;list_price_min=28500&amp;list_price_max=39000&amp;mileage_min=45000&amp;mileage_max=75000&amp;year_min=2021" TargetMode="External" Id="rId244"/><Relationship Type="http://schemas.openxmlformats.org/officeDocument/2006/relationships/hyperlink" Target="https://www.cars.com/shopping/results/?stock_type=used&amp;makes[]=toyota&amp;models[]=toyota-sienna&amp;maximum_distance=250&amp;zip=93720&amp;list_price_min=29500&amp;list_price_max=40000&amp;year_min=2021" TargetMode="External" Id="rId245"/><Relationship Type="http://schemas.openxmlformats.org/officeDocument/2006/relationships/hyperlink" Target="https://www.cars.com/shopping/results/?stock_type=used&amp;makes[]=toyota&amp;models[]=toyota-tacoma&amp;maximum_distance=250&amp;zip=93720&amp;list_price_min=34500&amp;list_price_max=47000&amp;mileage_min=0&amp;mileage_max=25000" TargetMode="External" Id="rId246"/><Relationship Type="http://schemas.openxmlformats.org/officeDocument/2006/relationships/hyperlink" Target="https://www.cars.com/shopping/results/?stock_type=used&amp;makes[]=toyota&amp;models[]=toyota-tacoma&amp;maximum_distance=250&amp;zip=93720&amp;list_price_min=32500&amp;list_price_max=44000&amp;mileage_min=5000&amp;mileage_max=35000" TargetMode="External" Id="rId247"/><Relationship Type="http://schemas.openxmlformats.org/officeDocument/2006/relationships/hyperlink" Target="https://www.cars.com/shopping/results/?stock_type=used&amp;makes[]=toyota&amp;models[]=toyota-tacoma&amp;maximum_distance=250&amp;zip=93720&amp;list_price_min=28500&amp;list_price_max=39000&amp;mileage_min=25000&amp;mileage_max=55000" TargetMode="External" Id="rId248"/><Relationship Type="http://schemas.openxmlformats.org/officeDocument/2006/relationships/hyperlink" Target="https://www.cars.com/shopping/results/?stock_type=used&amp;makes[]=toyota&amp;models[]=toyota-tacoma&amp;maximum_distance=250&amp;zip=93720&amp;list_price_min=26500&amp;list_price_max=36000&amp;mileage_min=45000&amp;mileage_max=75000" TargetMode="External" Id="rId249"/><Relationship Type="http://schemas.openxmlformats.org/officeDocument/2006/relationships/hyperlink" Target="https://www.cars.com/shopping/results/?stock_type=used&amp;makes[]=toyota&amp;models[]=toyota-tacoma&amp;maximum_distance=250&amp;zip=93720&amp;list_price_min=24000&amp;list_price_max=32500&amp;mileage_min=65000&amp;mileage_max=95000" TargetMode="External" Id="rId250"/><Relationship Type="http://schemas.openxmlformats.org/officeDocument/2006/relationships/hyperlink" Target="https://www.cars.com/shopping/results/?stock_type=used&amp;makes[]=toyota&amp;models[]=toyota-tacoma&amp;maximum_distance=250&amp;zip=93720&amp;list_price_min=22000&amp;list_price_max=29500&amp;mileage_min=85000&amp;mileage_max=115000" TargetMode="External" Id="rId251"/><Relationship Type="http://schemas.openxmlformats.org/officeDocument/2006/relationships/hyperlink" Target="https://www.cars.com/shopping/results/?stock_type=used&amp;makes[]=toyota&amp;models[]=toyota-tacoma&amp;maximum_distance=250&amp;zip=93720&amp;list_price_min=19500&amp;list_price_max=26500&amp;mileage_min=105000&amp;mileage_max=135000" TargetMode="External" Id="rId252"/><Relationship Type="http://schemas.openxmlformats.org/officeDocument/2006/relationships/hyperlink" Target="https://www.cars.com/shopping/results/?stock_type=used&amp;makes[]=toyota&amp;models[]=toyota-tacoma&amp;maximum_distance=250&amp;zip=93720&amp;list_price_min=16000&amp;list_price_max=22000&amp;mileage_min=135000&amp;mileage_max=165000" TargetMode="External" Id="rId253"/><Relationship Type="http://schemas.openxmlformats.org/officeDocument/2006/relationships/hyperlink" Target="https://www.cars.com/shopping/results/?stock_type=used&amp;makes[]=toyota&amp;models[]=toyota-tacoma&amp;maximum_distance=250&amp;zip=93720&amp;list_price_min=13500&amp;list_price_max=18000&amp;mileage_min=165000&amp;mileage_max=195000" TargetMode="External" Id="rId254"/><Relationship Type="http://schemas.openxmlformats.org/officeDocument/2006/relationships/hyperlink" Target="https://www.cars.com/shopping/results/?stock_type=used&amp;makes[]=toyota&amp;models[]=toyota-tacoma&amp;maximum_distance=250&amp;zip=93720&amp;list_price_min=24500&amp;list_price_max=33500" TargetMode="External" Id="rId255"/><Relationship Type="http://schemas.openxmlformats.org/officeDocument/2006/relationships/hyperlink" Target="https://www.cars.com/shopping/results/?stock_type=used&amp;makes[]=nissan&amp;models[]=nissan-rogue&amp;maximum_distance=250&amp;zip=93720&amp;list_price_min=22500&amp;list_price_max=31000&amp;mileage_min=0&amp;mileage_max=25000" TargetMode="External" Id="rId256"/><Relationship Type="http://schemas.openxmlformats.org/officeDocument/2006/relationships/hyperlink" Target="https://www.cars.com/shopping/results/?stock_type=used&amp;makes[]=nissan&amp;models[]=nissan-rogue&amp;maximum_distance=250&amp;zip=93720&amp;list_price_min=21500&amp;list_price_max=29000&amp;mileage_min=5000&amp;mileage_max=35000" TargetMode="External" Id="rId257"/><Relationship Type="http://schemas.openxmlformats.org/officeDocument/2006/relationships/hyperlink" Target="https://www.cars.com/shopping/results/?stock_type=used&amp;makes[]=nissan&amp;models[]=nissan-rogue&amp;maximum_distance=250&amp;zip=93720&amp;list_price_min=17000&amp;list_price_max=23000&amp;mileage_min=25000&amp;mileage_max=55000" TargetMode="External" Id="rId258"/><Relationship Type="http://schemas.openxmlformats.org/officeDocument/2006/relationships/hyperlink" Target="https://www.cars.com/shopping/results/?stock_type=used&amp;makes[]=nissan&amp;models[]=nissan-rogue&amp;maximum_distance=250&amp;zip=93720&amp;list_price_min=15500&amp;list_price_max=21000&amp;mileage_min=45000&amp;mileage_max=75000" TargetMode="External" Id="rId259"/><Relationship Type="http://schemas.openxmlformats.org/officeDocument/2006/relationships/hyperlink" Target="https://www.cars.com/shopping/results/?stock_type=used&amp;makes[]=nissan&amp;models[]=nissan-rogue&amp;maximum_distance=250&amp;zip=93720&amp;list_price_min=13000&amp;list_price_max=17500&amp;mileage_min=65000&amp;mileage_max=95000" TargetMode="External" Id="rId260"/><Relationship Type="http://schemas.openxmlformats.org/officeDocument/2006/relationships/hyperlink" Target="https://www.cars.com/shopping/results/?stock_type=used&amp;makes[]=nissan&amp;models[]=nissan-rogue&amp;maximum_distance=250&amp;zip=93720&amp;list_price_min=10500&amp;list_price_max=14000&amp;mileage_min=85000&amp;mileage_max=115000" TargetMode="External" Id="rId261"/><Relationship Type="http://schemas.openxmlformats.org/officeDocument/2006/relationships/hyperlink" Target="https://www.cars.com/shopping/results/?stock_type=used&amp;makes[]=nissan&amp;models[]=nissan-rogue&amp;maximum_distance=250&amp;zip=93720&amp;list_price_min=8500&amp;list_price_max=11500&amp;mileage_min=105000&amp;mileage_max=135000" TargetMode="External" Id="rId262"/><Relationship Type="http://schemas.openxmlformats.org/officeDocument/2006/relationships/hyperlink" Target="https://www.cars.com/shopping/results/?stock_type=used&amp;makes[]=nissan&amp;models[]=nissan-rogue&amp;maximum_distance=250&amp;zip=93720&amp;list_price_min=6000&amp;list_price_max=8500&amp;mileage_min=135000&amp;mileage_max=165000" TargetMode="External" Id="rId263"/><Relationship Type="http://schemas.openxmlformats.org/officeDocument/2006/relationships/hyperlink" Target="https://www.cars.com/shopping/results/?stock_type=used&amp;makes[]=nissan&amp;models[]=nissan-rogue&amp;maximum_distance=250&amp;zip=93720&amp;list_price_min=15500&amp;list_price_max=21500" TargetMode="External" Id="rId264"/><Relationship Type="http://schemas.openxmlformats.org/officeDocument/2006/relationships/hyperlink" Target="https://www.cars.com/shopping/results/?stock_type=used&amp;makes[]=chevrolet&amp;models[]=chevrolet-equinox&amp;maximum_distance=250&amp;zip=93720&amp;list_price_min=21000&amp;list_price_max=28500&amp;mileage_min=0&amp;mileage_max=25000" TargetMode="External" Id="rId265"/><Relationship Type="http://schemas.openxmlformats.org/officeDocument/2006/relationships/hyperlink" Target="https://www.cars.com/shopping/results/?stock_type=used&amp;makes[]=chevrolet&amp;models[]=chevrolet-equinox&amp;maximum_distance=250&amp;zip=93720&amp;list_price_min=20000&amp;list_price_max=27000&amp;mileage_min=5000&amp;mileage_max=35000" TargetMode="External" Id="rId266"/><Relationship Type="http://schemas.openxmlformats.org/officeDocument/2006/relationships/hyperlink" Target="https://www.cars.com/shopping/results/?stock_type=used&amp;makes[]=chevrolet&amp;models[]=chevrolet-equinox&amp;maximum_distance=250&amp;zip=93720&amp;list_price_min=16000&amp;list_price_max=21500&amp;mileage_min=25000&amp;mileage_max=55000" TargetMode="External" Id="rId267"/><Relationship Type="http://schemas.openxmlformats.org/officeDocument/2006/relationships/hyperlink" Target="https://www.cars.com/shopping/results/?stock_type=used&amp;makes[]=chevrolet&amp;models[]=chevrolet-equinox&amp;maximum_distance=250&amp;zip=93720&amp;list_price_min=14000&amp;list_price_max=19000&amp;mileage_min=45000&amp;mileage_max=75000" TargetMode="External" Id="rId268"/><Relationship Type="http://schemas.openxmlformats.org/officeDocument/2006/relationships/hyperlink" Target="https://www.cars.com/shopping/results/?stock_type=used&amp;makes[]=chevrolet&amp;models[]=chevrolet-equinox&amp;maximum_distance=250&amp;zip=93720&amp;list_price_min=12500&amp;list_price_max=17000&amp;mileage_min=65000&amp;mileage_max=95000" TargetMode="External" Id="rId269"/><Relationship Type="http://schemas.openxmlformats.org/officeDocument/2006/relationships/hyperlink" Target="https://www.cars.com/shopping/results/?stock_type=used&amp;makes[]=chevrolet&amp;models[]=chevrolet-equinox&amp;maximum_distance=250&amp;zip=93720&amp;list_price_min=11500&amp;list_price_max=16000&amp;mileage_min=85000&amp;mileage_max=115000" TargetMode="External" Id="rId270"/><Relationship Type="http://schemas.openxmlformats.org/officeDocument/2006/relationships/hyperlink" Target="https://www.cars.com/shopping/results/?stock_type=used&amp;makes[]=chevrolet&amp;models[]=chevrolet-equinox&amp;maximum_distance=250&amp;zip=93720&amp;list_price_min=9000&amp;list_price_max=12500&amp;mileage_min=105000&amp;mileage_max=135000" TargetMode="External" Id="rId271"/><Relationship Type="http://schemas.openxmlformats.org/officeDocument/2006/relationships/hyperlink" Target="https://www.cars.com/shopping/results/?stock_type=used&amp;makes[]=chevrolet&amp;models[]=chevrolet-equinox&amp;maximum_distance=250&amp;zip=93720&amp;list_price_min=6500&amp;list_price_max=8500&amp;mileage_min=135000&amp;mileage_max=165000" TargetMode="External" Id="rId272"/><Relationship Type="http://schemas.openxmlformats.org/officeDocument/2006/relationships/hyperlink" Target="https://www.cars.com/shopping/results/?stock_type=used&amp;makes[]=chevrolet&amp;models[]=chevrolet-equinox&amp;maximum_distance=250&amp;zip=93720&amp;list_price_min=14500&amp;list_price_max=19500" TargetMode="External" Id="rId273"/><Relationship Type="http://schemas.openxmlformats.org/officeDocument/2006/relationships/hyperlink" Target="https://www.cars.com/shopping/results/?stock_type=used&amp;makes[]=toyota&amp;models[]=toyota-sienna&amp;maximum_distance=250&amp;zip=93720&amp;list_price_min=17000&amp;list_price_max=23000&amp;mileage_min=65000&amp;mileage_max=95000&amp;year_max=2020" TargetMode="External" Id="rId274"/><Relationship Type="http://schemas.openxmlformats.org/officeDocument/2006/relationships/hyperlink" Target="https://www.cars.com/shopping/results/?stock_type=used&amp;makes[]=toyota&amp;models[]=toyota-sienna&amp;maximum_distance=250&amp;zip=93720&amp;list_price_min=15000&amp;list_price_max=20000&amp;mileage_min=85000&amp;mileage_max=115000&amp;year_max=2020" TargetMode="External" Id="rId275"/><Relationship Type="http://schemas.openxmlformats.org/officeDocument/2006/relationships/hyperlink" Target="https://www.cars.com/shopping/results/?stock_type=used&amp;makes[]=toyota&amp;models[]=toyota-sienna&amp;maximum_distance=250&amp;zip=93720&amp;list_price_min=12500&amp;list_price_max=17000&amp;mileage_min=105000&amp;mileage_max=135000&amp;year_max=2020" TargetMode="External" Id="rId276"/><Relationship Type="http://schemas.openxmlformats.org/officeDocument/2006/relationships/hyperlink" Target="https://www.cars.com/shopping/results/?stock_type=used&amp;makes[]=toyota&amp;models[]=toyota-sienna&amp;maximum_distance=250&amp;zip=93720&amp;list_price_min=10000&amp;list_price_max=13500&amp;mileage_min=135000&amp;mileage_max=165000&amp;year_max=2020" TargetMode="External" Id="rId277"/><Relationship Type="http://schemas.openxmlformats.org/officeDocument/2006/relationships/hyperlink" Target="https://www.cars.com/shopping/results/?stock_type=used&amp;makes[]=toyota&amp;models[]=toyota-sienna&amp;maximum_distance=250&amp;zip=93720&amp;list_price_min=7500&amp;list_price_max=10000&amp;mileage_min=165000&amp;mileage_max=195000&amp;year_max=2020" TargetMode="External" Id="rId278"/><Relationship Type="http://schemas.openxmlformats.org/officeDocument/2006/relationships/hyperlink" Target="https://www.cars.com/shopping/results/?stock_type=used&amp;makes[]=toyota&amp;models[]=toyota-sienna&amp;maximum_distance=250&amp;zip=93720&amp;list_price_min=18500&amp;list_price_max=25500&amp;year_max=2020" TargetMode="External" Id="rId279"/><Relationship Type="http://schemas.openxmlformats.org/officeDocument/2006/relationships/hyperlink" Target="https://www.cars.com/shopping/results/?stock_type=used&amp;makes[]=mini&amp;models[]=mini-hardtop&amp;maximum_distance=250&amp;zip=93720&amp;list_price_min=20000&amp;list_price_max=27500&amp;mileage_min=0&amp;mileage_max=25000" TargetMode="External" Id="rId280"/><Relationship Type="http://schemas.openxmlformats.org/officeDocument/2006/relationships/hyperlink" Target="https://www.cars.com/shopping/results/?stock_type=used&amp;makes[]=mini&amp;models[]=mini-hardtop&amp;maximum_distance=250&amp;zip=93720&amp;list_price_min=19500&amp;list_price_max=26000&amp;mileage_min=5000&amp;mileage_max=35000" TargetMode="External" Id="rId281"/><Relationship Type="http://schemas.openxmlformats.org/officeDocument/2006/relationships/hyperlink" Target="https://www.cars.com/shopping/results/?stock_type=used&amp;makes[]=mini&amp;models[]=mini-hardtop&amp;maximum_distance=250&amp;zip=93720&amp;list_price_min=16000&amp;list_price_max=21500&amp;mileage_min=25000&amp;mileage_max=55000" TargetMode="External" Id="rId282"/><Relationship Type="http://schemas.openxmlformats.org/officeDocument/2006/relationships/hyperlink" Target="https://www.cars.com/shopping/results/?stock_type=used&amp;makes[]=mini&amp;models[]=mini-hardtop&amp;maximum_distance=250&amp;zip=93720&amp;list_price_min=13000&amp;list_price_max=18000&amp;mileage_min=45000&amp;mileage_max=75000" TargetMode="External" Id="rId283"/><Relationship Type="http://schemas.openxmlformats.org/officeDocument/2006/relationships/hyperlink" Target="https://www.cars.com/shopping/results/?stock_type=used&amp;makes[]=mini&amp;models[]=mini-hardtop&amp;maximum_distance=250&amp;zip=93720&amp;list_price_min=11000&amp;list_price_max=14500&amp;mileage_min=65000&amp;mileage_max=95000" TargetMode="External" Id="rId284"/><Relationship Type="http://schemas.openxmlformats.org/officeDocument/2006/relationships/hyperlink" Target="https://www.cars.com/shopping/results/?stock_type=used&amp;makes[]=mini&amp;models[]=mini-hardtop&amp;maximum_distance=250&amp;zip=93720&amp;list_price_min=8500&amp;list_price_max=12000&amp;mileage_min=85000&amp;mileage_max=115000" TargetMode="External" Id="rId285"/><Relationship Type="http://schemas.openxmlformats.org/officeDocument/2006/relationships/hyperlink" Target="https://www.cars.com/shopping/results/?stock_type=used&amp;makes[]=mini&amp;models[]=mini-hardtop&amp;maximum_distance=250&amp;zip=93720&amp;list_price_min=7000&amp;list_price_max=9500&amp;mileage_min=105000&amp;mileage_max=135000" TargetMode="External" Id="rId286"/><Relationship Type="http://schemas.openxmlformats.org/officeDocument/2006/relationships/hyperlink" Target="https://www.cars.com/shopping/results/?stock_type=used&amp;makes[]=mini&amp;models[]=mini-hardtop&amp;maximum_distance=250&amp;zip=93720&amp;list_price_min=5000&amp;list_price_max=7000&amp;mileage_min=135000&amp;mileage_max=165000" TargetMode="External" Id="rId287"/><Relationship Type="http://schemas.openxmlformats.org/officeDocument/2006/relationships/hyperlink" Target="https://www.cars.com/shopping/results/?stock_type=used&amp;makes[]=mini&amp;models[]=mini-hardtop&amp;maximum_distance=250&amp;zip=93720&amp;list_price_min=15000&amp;list_price_max=20500" TargetMode="External" Id="rId288"/><Relationship Type="http://schemas.openxmlformats.org/officeDocument/2006/relationships/hyperlink" Target="https://www.cars.com/shopping/results/?stock_type=used&amp;makes[]=ford&amp;models[]=ford-ranger&amp;maximum_distance=250&amp;zip=93720&amp;list_price_min=9500&amp;list_price_max=13000&amp;year_max=2011" TargetMode="External" Id="rId289"/><Relationship Type="http://schemas.openxmlformats.org/officeDocument/2006/relationships/hyperlink" Target="https://www.cars.com/shopping/results/?stock_type=used&amp;makes[]=fiat&amp;models[]=fiat-500x&amp;maximum_distance=250&amp;zip=93720&amp;list_price_min=12500&amp;list_price_max=17000&amp;mileage_min=25000&amp;mileage_max=55000" TargetMode="External" Id="rId290"/><Relationship Type="http://schemas.openxmlformats.org/officeDocument/2006/relationships/hyperlink" Target="https://www.cars.com/shopping/results/?stock_type=used&amp;makes[]=fiat&amp;models[]=fiat-500x&amp;maximum_distance=250&amp;zip=93720&amp;list_price_min=10000&amp;list_price_max=14000&amp;mileage_min=45000&amp;mileage_max=75000" TargetMode="External" Id="rId291"/><Relationship Type="http://schemas.openxmlformats.org/officeDocument/2006/relationships/hyperlink" Target="https://www.cars.com/shopping/results/?stock_type=used&amp;makes[]=fiat&amp;models[]=fiat-500x&amp;maximum_distance=250&amp;zip=93720&amp;list_price_min=8500&amp;list_price_max=11500&amp;mileage_min=65000&amp;mileage_max=95000" TargetMode="External" Id="rId292"/><Relationship Type="http://schemas.openxmlformats.org/officeDocument/2006/relationships/hyperlink" Target="https://www.cars.com/shopping/results/?stock_type=used&amp;makes[]=fiat&amp;models[]=fiat-500x&amp;maximum_distance=250&amp;zip=93720&amp;list_price_min=6500&amp;list_price_max=9000&amp;mileage_min=85000&amp;mileage_max=115000" TargetMode="External" Id="rId293"/><Relationship Type="http://schemas.openxmlformats.org/officeDocument/2006/relationships/hyperlink" Target="https://www.cars.com/shopping/results/?stock_type=used&amp;makes[]=fiat&amp;models[]=fiat-500x&amp;maximum_distance=250&amp;zip=93720&amp;list_price_min=5500&amp;list_price_max=7000&amp;mileage_min=105000&amp;mileage_max=135000" TargetMode="External" Id="rId294"/><Relationship Type="http://schemas.openxmlformats.org/officeDocument/2006/relationships/hyperlink" Target="https://www.cars.com/shopping/results/?stock_type=used&amp;makes[]=fiat&amp;models[]=fiat-500x&amp;maximum_distance=250&amp;zip=93720&amp;list_price_min=12500&amp;list_price_max=17000" TargetMode="External" Id="rId295"/><Relationship Type="http://schemas.openxmlformats.org/officeDocument/2006/relationships/hyperlink" Target="https://www.cars.com/shopping/results/?stock_type=used&amp;makes[]=volkswagen&amp;models[]=volkswagen-golf_gti&amp;maximum_distance=250&amp;zip=93720&amp;list_price_min=24500&amp;list_price_max=33000&amp;mileage_min=0&amp;mileage_max=25000" TargetMode="External" Id="rId296"/><Relationship Type="http://schemas.openxmlformats.org/officeDocument/2006/relationships/hyperlink" Target="https://www.cars.com/shopping/results/?stock_type=used&amp;makes[]=volkswagen&amp;models[]=volkswagen-golf_gti&amp;maximum_distance=250&amp;zip=93720&amp;list_price_min=23500&amp;list_price_max=31500&amp;mileage_min=5000&amp;mileage_max=35000" TargetMode="External" Id="rId297"/><Relationship Type="http://schemas.openxmlformats.org/officeDocument/2006/relationships/hyperlink" Target="https://www.cars.com/shopping/results/?stock_type=used&amp;makes[]=volkswagen&amp;models[]=volkswagen-golf_gti&amp;maximum_distance=250&amp;zip=93720&amp;list_price_min=19500&amp;list_price_max=26000&amp;mileage_min=25000&amp;mileage_max=55000" TargetMode="External" Id="rId298"/><Relationship Type="http://schemas.openxmlformats.org/officeDocument/2006/relationships/hyperlink" Target="https://www.cars.com/shopping/results/?stock_type=used&amp;makes[]=volkswagen&amp;models[]=volkswagen-golf_gti&amp;maximum_distance=250&amp;zip=93720&amp;list_price_min=16000&amp;list_price_max=21500&amp;mileage_min=45000&amp;mileage_max=75000" TargetMode="External" Id="rId299"/><Relationship Type="http://schemas.openxmlformats.org/officeDocument/2006/relationships/hyperlink" Target="https://www.cars.com/shopping/results/?stock_type=used&amp;makes[]=volkswagen&amp;models[]=volkswagen-golf_gti&amp;maximum_distance=250&amp;zip=93720&amp;list_price_min=13500&amp;list_price_max=18000&amp;mileage_min=65000&amp;mileage_max=95000" TargetMode="External" Id="rId300"/><Relationship Type="http://schemas.openxmlformats.org/officeDocument/2006/relationships/hyperlink" Target="https://www.cars.com/shopping/results/?stock_type=used&amp;makes[]=volkswagen&amp;models[]=volkswagen-golf_gti&amp;maximum_distance=250&amp;zip=93720&amp;list_price_min=11000&amp;list_price_max=15000&amp;mileage_min=85000&amp;mileage_max=115000" TargetMode="External" Id="rId301"/><Relationship Type="http://schemas.openxmlformats.org/officeDocument/2006/relationships/hyperlink" Target="https://www.cars.com/shopping/results/?stock_type=used&amp;makes[]=volkswagen&amp;models[]=volkswagen-golf_gti&amp;maximum_distance=250&amp;zip=93720&amp;list_price_min=9000&amp;list_price_max=12000&amp;mileage_min=105000&amp;mileage_max=135000" TargetMode="External" Id="rId302"/><Relationship Type="http://schemas.openxmlformats.org/officeDocument/2006/relationships/hyperlink" Target="https://www.cars.com/shopping/results/?stock_type=used&amp;makes[]=volkswagen&amp;models[]=volkswagen-golf_gti&amp;maximum_distance=250&amp;zip=93720&amp;list_price_min=16000&amp;list_price_max=21500" TargetMode="External" Id="rId303"/><Relationship Type="http://schemas.openxmlformats.org/officeDocument/2006/relationships/hyperlink" Target="https://www.cars.com/shopping/results/?stock_type=used&amp;makes[]=kia&amp;models[]=kia-sportage&amp;maximum_distance=250&amp;zip=93720&amp;list_price_min=22500&amp;list_price_max=31000&amp;mileage_min=0&amp;mileage_max=25000" TargetMode="External" Id="rId304"/><Relationship Type="http://schemas.openxmlformats.org/officeDocument/2006/relationships/hyperlink" Target="https://www.cars.com/shopping/results/?stock_type=used&amp;makes[]=kia&amp;models[]=kia-sportage&amp;maximum_distance=250&amp;zip=93720&amp;list_price_min=22000&amp;list_price_max=29500&amp;mileage_min=5000&amp;mileage_max=35000" TargetMode="External" Id="rId305"/><Relationship Type="http://schemas.openxmlformats.org/officeDocument/2006/relationships/hyperlink" Target="https://www.cars.com/shopping/results/?stock_type=used&amp;makes[]=kia&amp;models[]=kia-sportage&amp;maximum_distance=250&amp;zip=93720&amp;list_price_min=18500&amp;list_price_max=25000&amp;mileage_min=25000&amp;mileage_max=55000" TargetMode="External" Id="rId306"/><Relationship Type="http://schemas.openxmlformats.org/officeDocument/2006/relationships/hyperlink" Target="https://www.cars.com/shopping/results/?stock_type=used&amp;makes[]=kia&amp;models[]=kia-sportage&amp;maximum_distance=250&amp;zip=93720&amp;list_price_min=15000&amp;list_price_max=20500&amp;mileage_min=45000&amp;mileage_max=75000" TargetMode="External" Id="rId307"/><Relationship Type="http://schemas.openxmlformats.org/officeDocument/2006/relationships/hyperlink" Target="https://www.cars.com/shopping/results/?stock_type=used&amp;makes[]=kia&amp;models[]=kia-sportage&amp;maximum_distance=250&amp;zip=93720&amp;list_price_min=12500&amp;list_price_max=17000&amp;mileage_min=65000&amp;mileage_max=95000" TargetMode="External" Id="rId308"/><Relationship Type="http://schemas.openxmlformats.org/officeDocument/2006/relationships/hyperlink" Target="https://www.cars.com/shopping/results/?stock_type=used&amp;makes[]=kia&amp;models[]=kia-sportage&amp;maximum_distance=250&amp;zip=93720&amp;list_price_min=10500&amp;list_price_max=14000&amp;mileage_min=85000&amp;mileage_max=115000" TargetMode="External" Id="rId309"/><Relationship Type="http://schemas.openxmlformats.org/officeDocument/2006/relationships/hyperlink" Target="https://www.cars.com/shopping/results/?stock_type=used&amp;makes[]=kia&amp;models[]=kia-sportage&amp;maximum_distance=250&amp;zip=93720&amp;list_price_min=8500&amp;list_price_max=12000&amp;mileage_min=105000&amp;mileage_max=135000" TargetMode="External" Id="rId310"/><Relationship Type="http://schemas.openxmlformats.org/officeDocument/2006/relationships/hyperlink" Target="https://www.cars.com/shopping/results/?stock_type=used&amp;makes[]=kia&amp;models[]=kia-sportage&amp;maximum_distance=250&amp;zip=93720&amp;list_price_min=6500&amp;list_price_max=9000&amp;mileage_min=135000&amp;mileage_max=165000" TargetMode="External" Id="rId311"/><Relationship Type="http://schemas.openxmlformats.org/officeDocument/2006/relationships/hyperlink" Target="https://www.cars.com/shopping/results/?stock_type=used&amp;makes[]=kia&amp;models[]=kia-sportage&amp;maximum_distance=250&amp;zip=93720&amp;list_price_min=13000&amp;list_price_max=18000" TargetMode="External" Id="rId312"/><Relationship Type="http://schemas.openxmlformats.org/officeDocument/2006/relationships/hyperlink" Target="https://www.cars.com/shopping/results/?stock_type=used&amp;makes[]=ford&amp;models[]=ford-escape&amp;maximum_distance=250&amp;zip=93720&amp;list_price_min=22000&amp;list_price_max=29500&amp;mileage_min=0&amp;mileage_max=25000" TargetMode="External" Id="rId313"/><Relationship Type="http://schemas.openxmlformats.org/officeDocument/2006/relationships/hyperlink" Target="https://www.cars.com/shopping/results/?stock_type=used&amp;makes[]=ford&amp;models[]=ford-escape&amp;maximum_distance=250&amp;zip=93720&amp;list_price_min=20500&amp;list_price_max=28000&amp;mileage_min=5000&amp;mileage_max=35000" TargetMode="External" Id="rId314"/><Relationship Type="http://schemas.openxmlformats.org/officeDocument/2006/relationships/hyperlink" Target="https://www.cars.com/shopping/results/?stock_type=used&amp;makes[]=ford&amp;models[]=ford-escape&amp;maximum_distance=250&amp;zip=93720&amp;list_price_min=15500&amp;list_price_max=21000&amp;mileage_min=25000&amp;mileage_max=55000" TargetMode="External" Id="rId315"/><Relationship Type="http://schemas.openxmlformats.org/officeDocument/2006/relationships/hyperlink" Target="https://www.cars.com/shopping/results/?stock_type=used&amp;makes[]=ford&amp;models[]=ford-escape&amp;maximum_distance=250&amp;zip=93720&amp;list_price_min=13000&amp;list_price_max=18000&amp;mileage_min=45000&amp;mileage_max=75000" TargetMode="External" Id="rId316"/><Relationship Type="http://schemas.openxmlformats.org/officeDocument/2006/relationships/hyperlink" Target="https://www.cars.com/shopping/results/?stock_type=used&amp;makes[]=ford&amp;models[]=ford-escape&amp;maximum_distance=250&amp;zip=93720&amp;list_price_min=11000&amp;list_price_max=15000&amp;mileage_min=65000&amp;mileage_max=95000" TargetMode="External" Id="rId317"/><Relationship Type="http://schemas.openxmlformats.org/officeDocument/2006/relationships/hyperlink" Target="https://www.cars.com/shopping/results/?stock_type=used&amp;makes[]=ford&amp;models[]=ford-escape&amp;maximum_distance=250&amp;zip=93720&amp;list_price_min=9000&amp;list_price_max=12000&amp;mileage_min=85000&amp;mileage_max=115000" TargetMode="External" Id="rId318"/><Relationship Type="http://schemas.openxmlformats.org/officeDocument/2006/relationships/hyperlink" Target="https://www.cars.com/shopping/results/?stock_type=used&amp;makes[]=ford&amp;models[]=ford-escape&amp;maximum_distance=250&amp;zip=93720&amp;list_price_min=7000&amp;list_price_max=9500&amp;mileage_min=105000&amp;mileage_max=135000" TargetMode="External" Id="rId319"/><Relationship Type="http://schemas.openxmlformats.org/officeDocument/2006/relationships/hyperlink" Target="https://www.cars.com/shopping/results/?stock_type=used&amp;makes[]=ford&amp;models[]=ford-escape&amp;maximum_distance=250&amp;zip=93720&amp;list_price_min=5500&amp;list_price_max=7000&amp;mileage_min=135000&amp;mileage_max=165000" TargetMode="External" Id="rId320"/><Relationship Type="http://schemas.openxmlformats.org/officeDocument/2006/relationships/hyperlink" Target="https://www.cars.com/shopping/results/?stock_type=used&amp;makes[]=ford&amp;models[]=ford-escape&amp;maximum_distance=250&amp;zip=93720&amp;list_price_min=12500&amp;list_price_max=17000" TargetMode="External" Id="rId321"/><Relationship Type="http://schemas.openxmlformats.org/officeDocument/2006/relationships/hyperlink" Target="https://www.cars.com/shopping/results/?stock_type=used&amp;makes[]=toyota&amp;models[]=toyota-highlander&amp;maximum_distance=250&amp;zip=93720&amp;list_price_min=34000&amp;list_price_max=46000&amp;mileage_min=0&amp;mileage_max=25000" TargetMode="External" Id="rId322"/><Relationship Type="http://schemas.openxmlformats.org/officeDocument/2006/relationships/hyperlink" Target="https://www.cars.com/shopping/results/?stock_type=used&amp;makes[]=toyota&amp;models[]=toyota-highlander&amp;maximum_distance=250&amp;zip=93720&amp;list_price_min=32500&amp;list_price_max=44500&amp;mileage_min=5000&amp;mileage_max=35000" TargetMode="External" Id="rId323"/><Relationship Type="http://schemas.openxmlformats.org/officeDocument/2006/relationships/hyperlink" Target="https://www.cars.com/shopping/results/?stock_type=used&amp;makes[]=toyota&amp;models[]=toyota-highlander&amp;maximum_distance=250&amp;zip=93720&amp;list_price_min=28500&amp;list_price_max=39000&amp;mileage_min=25000&amp;mileage_max=55000" TargetMode="External" Id="rId324"/><Relationship Type="http://schemas.openxmlformats.org/officeDocument/2006/relationships/hyperlink" Target="https://www.cars.com/shopping/results/?stock_type=used&amp;makes[]=toyota&amp;models[]=toyota-highlander&amp;maximum_distance=250&amp;zip=93720&amp;list_price_min=25500&amp;list_price_max=34500&amp;mileage_min=45000&amp;mileage_max=75000" TargetMode="External" Id="rId325"/><Relationship Type="http://schemas.openxmlformats.org/officeDocument/2006/relationships/hyperlink" Target="https://www.cars.com/shopping/results/?stock_type=used&amp;makes[]=toyota&amp;models[]=toyota-highlander&amp;maximum_distance=250&amp;zip=93720&amp;list_price_min=22000&amp;list_price_max=29500&amp;mileage_min=65000&amp;mileage_max=95000" TargetMode="External" Id="rId326"/><Relationship Type="http://schemas.openxmlformats.org/officeDocument/2006/relationships/hyperlink" Target="https://www.cars.com/shopping/results/?stock_type=used&amp;makes[]=toyota&amp;models[]=toyota-highlander&amp;maximum_distance=250&amp;zip=93720&amp;list_price_min=18500&amp;list_price_max=25500&amp;mileage_min=85000&amp;mileage_max=115000" TargetMode="External" Id="rId327"/><Relationship Type="http://schemas.openxmlformats.org/officeDocument/2006/relationships/hyperlink" Target="https://www.cars.com/shopping/results/?stock_type=used&amp;makes[]=toyota&amp;models[]=toyota-highlander&amp;maximum_distance=250&amp;zip=93720&amp;list_price_min=16000&amp;list_price_max=21500&amp;mileage_min=105000&amp;mileage_max=135000" TargetMode="External" Id="rId328"/><Relationship Type="http://schemas.openxmlformats.org/officeDocument/2006/relationships/hyperlink" Target="https://www.cars.com/shopping/results/?stock_type=used&amp;makes[]=toyota&amp;models[]=toyota-highlander&amp;maximum_distance=250&amp;zip=93720&amp;list_price_min=12500&amp;list_price_max=17000&amp;mileage_min=135000&amp;mileage_max=165000" TargetMode="External" Id="rId329"/><Relationship Type="http://schemas.openxmlformats.org/officeDocument/2006/relationships/hyperlink" Target="https://www.cars.com/shopping/results/?stock_type=used&amp;makes[]=toyota&amp;models[]=toyota-highlander&amp;maximum_distance=250&amp;zip=93720&amp;list_price_min=10000&amp;list_price_max=13500&amp;mileage_min=165000&amp;mileage_max=195000" TargetMode="External" Id="rId330"/><Relationship Type="http://schemas.openxmlformats.org/officeDocument/2006/relationships/hyperlink" Target="https://www.cars.com/shopping/results/?stock_type=used&amp;makes[]=toyota&amp;models[]=toyota-highlander&amp;maximum_distance=250&amp;zip=93720&amp;list_price_min=21000&amp;list_price_max=28500" TargetMode="External" Id="rId331"/><Relationship Type="http://schemas.openxmlformats.org/officeDocument/2006/relationships/hyperlink" Target="https://www.cars.com/shopping/results/?stock_type=used&amp;makes[]=hyundai&amp;models[]=hyundai-tucson&amp;maximum_distance=250&amp;zip=93720&amp;list_price_min=23500&amp;list_price_max=32000&amp;mileage_min=0&amp;mileage_max=25000" TargetMode="External" Id="rId332"/><Relationship Type="http://schemas.openxmlformats.org/officeDocument/2006/relationships/hyperlink" Target="https://www.cars.com/shopping/results/?stock_type=used&amp;makes[]=hyundai&amp;models[]=hyundai-tucson&amp;maximum_distance=250&amp;zip=93720&amp;list_price_min=22500&amp;list_price_max=30500&amp;mileage_min=5000&amp;mileage_max=35000" TargetMode="External" Id="rId333"/><Relationship Type="http://schemas.openxmlformats.org/officeDocument/2006/relationships/hyperlink" Target="https://www.cars.com/shopping/results/?stock_type=used&amp;makes[]=hyundai&amp;models[]=hyundai-tucson&amp;maximum_distance=250&amp;zip=93720&amp;list_price_min=17500&amp;list_price_max=24000&amp;mileage_min=25000&amp;mileage_max=55000" TargetMode="External" Id="rId334"/><Relationship Type="http://schemas.openxmlformats.org/officeDocument/2006/relationships/hyperlink" Target="https://www.cars.com/shopping/results/?stock_type=used&amp;makes[]=hyundai&amp;models[]=hyundai-tucson&amp;maximum_distance=250&amp;zip=93720&amp;list_price_min=16000&amp;list_price_max=21500&amp;mileage_min=45000&amp;mileage_max=75000" TargetMode="External" Id="rId335"/><Relationship Type="http://schemas.openxmlformats.org/officeDocument/2006/relationships/hyperlink" Target="https://www.cars.com/shopping/results/?stock_type=used&amp;makes[]=hyundai&amp;models[]=hyundai-tucson&amp;maximum_distance=250&amp;zip=93720&amp;list_price_min=14500&amp;list_price_max=19500&amp;mileage_min=65000&amp;mileage_max=95000" TargetMode="External" Id="rId336"/><Relationship Type="http://schemas.openxmlformats.org/officeDocument/2006/relationships/hyperlink" Target="https://www.cars.com/shopping/results/?stock_type=used&amp;makes[]=hyundai&amp;models[]=hyundai-tucson&amp;maximum_distance=250&amp;zip=93720&amp;list_price_min=13000&amp;list_price_max=17500&amp;mileage_min=85000&amp;mileage_max=115000" TargetMode="External" Id="rId337"/><Relationship Type="http://schemas.openxmlformats.org/officeDocument/2006/relationships/hyperlink" Target="https://www.cars.com/shopping/results/?stock_type=used&amp;makes[]=hyundai&amp;models[]=hyundai-tucson&amp;maximum_distance=250&amp;zip=93720&amp;list_price_min=11500&amp;list_price_max=15500&amp;mileage_min=105000&amp;mileage_max=135000" TargetMode="External" Id="rId338"/><Relationship Type="http://schemas.openxmlformats.org/officeDocument/2006/relationships/hyperlink" Target="https://www.cars.com/shopping/results/?stock_type=used&amp;makes[]=hyundai&amp;models[]=hyundai-tucson&amp;maximum_distance=250&amp;zip=93720&amp;list_price_min=7000&amp;list_price_max=10000&amp;mileage_min=135000&amp;mileage_max=165000" TargetMode="External" Id="rId339"/><Relationship Type="http://schemas.openxmlformats.org/officeDocument/2006/relationships/hyperlink" Target="https://www.cars.com/shopping/results/?stock_type=used&amp;makes[]=hyundai&amp;models[]=hyundai-tucson&amp;maximum_distance=250&amp;zip=93720&amp;list_price_min=16500&amp;list_price_max=22000" TargetMode="External" Id="rId340"/><Relationship Type="http://schemas.openxmlformats.org/officeDocument/2006/relationships/hyperlink" Target="https://www.cars.com/shopping/results/?stock_type=used&amp;makes[]=toyota&amp;models[]=toyota-4runner&amp;maximum_distance=250&amp;zip=93720&amp;list_price_min=37000&amp;list_price_max=50500&amp;mileage_min=0&amp;mileage_max=25000" TargetMode="External" Id="rId341"/><Relationship Type="http://schemas.openxmlformats.org/officeDocument/2006/relationships/hyperlink" Target="https://www.cars.com/shopping/results/?stock_type=used&amp;makes[]=toyota&amp;models[]=toyota-4runner&amp;maximum_distance=250&amp;zip=93720&amp;list_price_min=37000&amp;list_price_max=50500&amp;mileage_min=5000&amp;mileage_max=35000" TargetMode="External" Id="rId342"/><Relationship Type="http://schemas.openxmlformats.org/officeDocument/2006/relationships/hyperlink" Target="https://www.cars.com/shopping/results/?stock_type=used&amp;makes[]=toyota&amp;models[]=toyota-4runner&amp;maximum_distance=250&amp;zip=93720&amp;list_price_min=34000&amp;list_price_max=46000&amp;mileage_min=25000&amp;mileage_max=55000" TargetMode="External" Id="rId343"/><Relationship Type="http://schemas.openxmlformats.org/officeDocument/2006/relationships/hyperlink" Target="https://www.cars.com/shopping/results/?stock_type=used&amp;makes[]=toyota&amp;models[]=toyota-4runner&amp;maximum_distance=250&amp;zip=93720&amp;list_price_min=30500&amp;list_price_max=41500&amp;mileage_min=45000&amp;mileage_max=75000" TargetMode="External" Id="rId344"/><Relationship Type="http://schemas.openxmlformats.org/officeDocument/2006/relationships/hyperlink" Target="https://www.cars.com/shopping/results/?stock_type=used&amp;makes[]=toyota&amp;models[]=toyota-4runner&amp;maximum_distance=250&amp;zip=93720&amp;list_price_min=28000&amp;list_price_max=37500&amp;mileage_min=65000&amp;mileage_max=95000" TargetMode="External" Id="rId345"/><Relationship Type="http://schemas.openxmlformats.org/officeDocument/2006/relationships/hyperlink" Target="https://www.cars.com/shopping/results/?stock_type=used&amp;makes[]=toyota&amp;models[]=toyota-4runner&amp;maximum_distance=250&amp;zip=93720&amp;list_price_min=25500&amp;list_price_max=34500&amp;mileage_min=85000&amp;mileage_max=115000" TargetMode="External" Id="rId346"/><Relationship Type="http://schemas.openxmlformats.org/officeDocument/2006/relationships/hyperlink" Target="https://www.cars.com/shopping/results/?stock_type=used&amp;makes[]=toyota&amp;models[]=toyota-4runner&amp;maximum_distance=250&amp;zip=93720&amp;list_price_min=22500&amp;list_price_max=31000&amp;mileage_min=105000&amp;mileage_max=135000" TargetMode="External" Id="rId347"/><Relationship Type="http://schemas.openxmlformats.org/officeDocument/2006/relationships/hyperlink" Target="https://www.cars.com/shopping/results/?stock_type=used&amp;makes[]=toyota&amp;models[]=toyota-4runner&amp;maximum_distance=250&amp;zip=93720&amp;list_price_min=19000&amp;list_price_max=25500&amp;mileage_min=135000&amp;mileage_max=165000" TargetMode="External" Id="rId348"/><Relationship Type="http://schemas.openxmlformats.org/officeDocument/2006/relationships/hyperlink" Target="https://www.cars.com/shopping/results/?stock_type=used&amp;makes[]=toyota&amp;models[]=toyota-4runner&amp;maximum_distance=250&amp;zip=93720&amp;list_price_min=15500&amp;list_price_max=21000&amp;mileage_min=165000&amp;mileage_max=195000" TargetMode="External" Id="rId349"/><Relationship Type="http://schemas.openxmlformats.org/officeDocument/2006/relationships/hyperlink" Target="https://www.cars.com/shopping/results/?stock_type=used&amp;makes[]=toyota&amp;models[]=toyota-4runner&amp;maximum_distance=250&amp;zip=93720&amp;list_price_min=30500&amp;list_price_max=41500" TargetMode="External" Id="rId350"/><Relationship Type="http://schemas.openxmlformats.org/officeDocument/2006/relationships/hyperlink" Target="https://www.cars.com/shopping/results/?stock_type=used&amp;makes[]=honda&amp;models[]=honda-odyssey&amp;maximum_distance=250&amp;zip=93720&amp;list_price_min=30500&amp;list_price_max=41000&amp;mileage_min=0&amp;mileage_max=25000" TargetMode="External" Id="rId351"/><Relationship Type="http://schemas.openxmlformats.org/officeDocument/2006/relationships/hyperlink" Target="https://www.cars.com/shopping/results/?stock_type=used&amp;makes[]=honda&amp;models[]=honda-odyssey&amp;maximum_distance=250&amp;zip=93720&amp;list_price_min=30500&amp;list_price_max=41000&amp;mileage_min=5000&amp;mileage_max=35000" TargetMode="External" Id="rId352"/><Relationship Type="http://schemas.openxmlformats.org/officeDocument/2006/relationships/hyperlink" Target="https://www.cars.com/shopping/results/?stock_type=used&amp;makes[]=honda&amp;models[]=honda-odyssey&amp;maximum_distance=250&amp;zip=93720&amp;list_price_min=25000&amp;list_price_max=34000&amp;mileage_min=25000&amp;mileage_max=55000" TargetMode="External" Id="rId353"/><Relationship Type="http://schemas.openxmlformats.org/officeDocument/2006/relationships/hyperlink" Target="https://www.cars.com/shopping/results/?stock_type=used&amp;makes[]=honda&amp;models[]=honda-odyssey&amp;maximum_distance=250&amp;zip=93720&amp;list_price_min=20500&amp;list_price_max=28000&amp;mileage_min=45000&amp;mileage_max=75000" TargetMode="External" Id="rId354"/><Relationship Type="http://schemas.openxmlformats.org/officeDocument/2006/relationships/hyperlink" Target="https://www.cars.com/shopping/results/?stock_type=used&amp;makes[]=honda&amp;models[]=honda-odyssey&amp;maximum_distance=250&amp;zip=93720&amp;list_price_min=17000&amp;list_price_max=23000&amp;mileage_min=65000&amp;mileage_max=95000" TargetMode="External" Id="rId355"/><Relationship Type="http://schemas.openxmlformats.org/officeDocument/2006/relationships/hyperlink" Target="https://www.cars.com/shopping/results/?stock_type=used&amp;makes[]=honda&amp;models[]=honda-odyssey&amp;maximum_distance=250&amp;zip=93720&amp;list_price_min=14000&amp;list_price_max=19500&amp;mileage_min=85000&amp;mileage_max=115000" TargetMode="External" Id="rId356"/><Relationship Type="http://schemas.openxmlformats.org/officeDocument/2006/relationships/hyperlink" Target="https://www.cars.com/shopping/results/?stock_type=used&amp;makes[]=honda&amp;models[]=honda-odyssey&amp;maximum_distance=250&amp;zip=93720&amp;list_price_min=12000&amp;list_price_max=16000&amp;mileage_min=105000&amp;mileage_max=135000" TargetMode="External" Id="rId357"/><Relationship Type="http://schemas.openxmlformats.org/officeDocument/2006/relationships/hyperlink" Target="https://www.cars.com/shopping/results/?stock_type=used&amp;makes[]=honda&amp;models[]=honda-odyssey&amp;maximum_distance=250&amp;zip=93720&amp;list_price_min=9000&amp;list_price_max=12000&amp;mileage_min=135000&amp;mileage_max=165000" TargetMode="External" Id="rId358"/><Relationship Type="http://schemas.openxmlformats.org/officeDocument/2006/relationships/hyperlink" Target="https://www.cars.com/shopping/results/?stock_type=used&amp;makes[]=honda&amp;models[]=honda-odyssey&amp;maximum_distance=250&amp;zip=93720&amp;list_price_min=7500&amp;list_price_max=10000&amp;mileage_min=165000&amp;mileage_max=195000" TargetMode="External" Id="rId359"/><Relationship Type="http://schemas.openxmlformats.org/officeDocument/2006/relationships/hyperlink" Target="https://www.cars.com/shopping/results/?stock_type=used&amp;makes[]=honda&amp;models[]=honda-odyssey&amp;maximum_distance=250&amp;zip=93720&amp;list_price_min=17000&amp;list_price_max=23000" TargetMode="External" Id="rId360"/><Relationship Type="http://schemas.openxmlformats.org/officeDocument/2006/relationships/hyperlink" Target="https://www.cars.com/shopping/results/?stock_type=used&amp;makes[]=kia&amp;models[]=kia-sorento&amp;maximum_distance=250&amp;zip=93720&amp;list_price_min=25500&amp;list_price_max=34500&amp;mileage_min=0&amp;mileage_max=25000" TargetMode="External" Id="rId361"/><Relationship Type="http://schemas.openxmlformats.org/officeDocument/2006/relationships/hyperlink" Target="https://www.cars.com/shopping/results/?stock_type=used&amp;makes[]=kia&amp;models[]=kia-sorento&amp;maximum_distance=250&amp;zip=93720&amp;list_price_min=25500&amp;list_price_max=34500&amp;mileage_min=5000&amp;mileage_max=35000" TargetMode="External" Id="rId362"/><Relationship Type="http://schemas.openxmlformats.org/officeDocument/2006/relationships/hyperlink" Target="https://www.cars.com/shopping/results/?stock_type=used&amp;makes[]=kia&amp;models[]=kia-sorento&amp;maximum_distance=250&amp;zip=93720&amp;list_price_min=21000&amp;list_price_max=28500&amp;mileage_min=25000&amp;mileage_max=55000" TargetMode="External" Id="rId363"/><Relationship Type="http://schemas.openxmlformats.org/officeDocument/2006/relationships/hyperlink" Target="https://www.cars.com/shopping/results/?stock_type=used&amp;makes[]=kia&amp;models[]=kia-sorento&amp;maximum_distance=250&amp;zip=93720&amp;list_price_min=17500&amp;list_price_max=24000&amp;mileage_min=45000&amp;mileage_max=75000" TargetMode="External" Id="rId364"/><Relationship Type="http://schemas.openxmlformats.org/officeDocument/2006/relationships/hyperlink" Target="https://www.cars.com/shopping/results/?stock_type=used&amp;makes[]=kia&amp;models[]=kia-sorento&amp;maximum_distance=250&amp;zip=93720&amp;list_price_min=15000&amp;list_price_max=20000&amp;mileage_min=65000&amp;mileage_max=95000" TargetMode="External" Id="rId365"/><Relationship Type="http://schemas.openxmlformats.org/officeDocument/2006/relationships/hyperlink" Target="https://www.cars.com/shopping/results/?stock_type=used&amp;makes[]=kia&amp;models[]=kia-sorento&amp;maximum_distance=250&amp;zip=93720&amp;list_price_min=12500&amp;list_price_max=17000&amp;mileage_min=85000&amp;mileage_max=115000" TargetMode="External" Id="rId366"/><Relationship Type="http://schemas.openxmlformats.org/officeDocument/2006/relationships/hyperlink" Target="https://www.cars.com/shopping/results/?stock_type=used&amp;makes[]=kia&amp;models[]=kia-sorento&amp;maximum_distance=250&amp;zip=93720&amp;list_price_min=10000&amp;list_price_max=14000&amp;mileage_min=105000&amp;mileage_max=135000" TargetMode="External" Id="rId367"/><Relationship Type="http://schemas.openxmlformats.org/officeDocument/2006/relationships/hyperlink" Target="https://www.cars.com/shopping/results/?stock_type=used&amp;makes[]=kia&amp;models[]=kia-sorento&amp;maximum_distance=250&amp;zip=93720&amp;list_price_min=7500&amp;list_price_max=10000&amp;mileage_min=135000&amp;mileage_max=165000" TargetMode="External" Id="rId368"/><Relationship Type="http://schemas.openxmlformats.org/officeDocument/2006/relationships/hyperlink" Target="https://www.cars.com/shopping/results/?stock_type=used&amp;makes[]=kia&amp;models[]=kia-sorento&amp;maximum_distance=250&amp;zip=93720&amp;list_price_min=6000&amp;list_price_max=8500&amp;mileage_min=165000&amp;mileage_max=195000" TargetMode="External" Id="rId369"/><Relationship Type="http://schemas.openxmlformats.org/officeDocument/2006/relationships/hyperlink" Target="https://www.cars.com/shopping/results/?stock_type=used&amp;makes[]=kia&amp;models[]=kia-sorento&amp;maximum_distance=250&amp;zip=93720&amp;list_price_min=15500&amp;list_price_max=21000" TargetMode="External" Id="rId370"/><Relationship Type="http://schemas.openxmlformats.org/officeDocument/2006/relationships/hyperlink" Target="https://www.cars.com/shopping/results/?stock_type=used&amp;makes[]=hyundai&amp;models[]=hyundai-santa_fe&amp;maximum_distance=250&amp;zip=93720&amp;list_price_min=24500&amp;list_price_max=33000&amp;mileage_min=0&amp;mileage_max=25000" TargetMode="External" Id="rId371"/><Relationship Type="http://schemas.openxmlformats.org/officeDocument/2006/relationships/hyperlink" Target="https://www.cars.com/shopping/results/?stock_type=used&amp;makes[]=hyundai&amp;models[]=hyundai-santa_fe&amp;maximum_distance=250&amp;zip=93720&amp;list_price_min=24500&amp;list_price_max=33000&amp;mileage_min=5000&amp;mileage_max=35000" TargetMode="External" Id="rId372"/><Relationship Type="http://schemas.openxmlformats.org/officeDocument/2006/relationships/hyperlink" Target="https://www.cars.com/shopping/results/?stock_type=used&amp;makes[]=hyundai&amp;models[]=hyundai-santa_fe&amp;maximum_distance=250&amp;zip=93720&amp;list_price_min=20500&amp;list_price_max=27500&amp;mileage_min=25000&amp;mileage_max=55000" TargetMode="External" Id="rId373"/><Relationship Type="http://schemas.openxmlformats.org/officeDocument/2006/relationships/hyperlink" Target="https://www.cars.com/shopping/results/?stock_type=used&amp;makes[]=hyundai&amp;models[]=hyundai-santa_fe&amp;maximum_distance=250&amp;zip=93720&amp;list_price_min=17000&amp;list_price_max=23000&amp;mileage_min=45000&amp;mileage_max=75000" TargetMode="External" Id="rId374"/><Relationship Type="http://schemas.openxmlformats.org/officeDocument/2006/relationships/hyperlink" Target="https://www.cars.com/shopping/results/?stock_type=used&amp;makes[]=hyundai&amp;models[]=hyundai-santa_fe&amp;maximum_distance=250&amp;zip=93720&amp;list_price_min=14000&amp;list_price_max=19000&amp;mileage_min=65000&amp;mileage_max=95000" TargetMode="External" Id="rId375"/><Relationship Type="http://schemas.openxmlformats.org/officeDocument/2006/relationships/hyperlink" Target="https://www.cars.com/shopping/results/?stock_type=used&amp;makes[]=hyundai&amp;models[]=hyundai-santa_fe&amp;maximum_distance=250&amp;zip=93720&amp;list_price_min=11500&amp;list_price_max=16000&amp;mileage_min=85000&amp;mileage_max=115000" TargetMode="External" Id="rId376"/><Relationship Type="http://schemas.openxmlformats.org/officeDocument/2006/relationships/hyperlink" Target="https://www.cars.com/shopping/results/?stock_type=used&amp;makes[]=hyundai&amp;models[]=hyundai-santa_fe&amp;maximum_distance=250&amp;zip=93720&amp;list_price_min=9500&amp;list_price_max=13000&amp;mileage_min=105000&amp;mileage_max=135000" TargetMode="External" Id="rId377"/><Relationship Type="http://schemas.openxmlformats.org/officeDocument/2006/relationships/hyperlink" Target="https://www.cars.com/shopping/results/?stock_type=used&amp;makes[]=hyundai&amp;models[]=hyundai-santa_fe&amp;maximum_distance=250&amp;zip=93720&amp;list_price_min=7000&amp;list_price_max=9500&amp;mileage_min=135000&amp;mileage_max=165000" TargetMode="External" Id="rId378"/><Relationship Type="http://schemas.openxmlformats.org/officeDocument/2006/relationships/hyperlink" Target="https://www.cars.com/shopping/results/?stock_type=used&amp;makes[]=hyundai&amp;models[]=hyundai-santa_fe&amp;maximum_distance=250&amp;zip=93720&amp;list_price_min=14000&amp;list_price_max=19000" TargetMode="External" Id="rId379"/><Relationship Type="http://schemas.openxmlformats.org/officeDocument/2006/relationships/hyperlink" Target="https://www.cars.com/shopping/results/?stock_type=used&amp;makes[]=volkswagen&amp;models[]=volkswagen-tiguan&amp;maximum_distance=250&amp;zip=93720&amp;list_price_min=22000&amp;list_price_max=29500&amp;mileage_min=0&amp;mileage_max=25000" TargetMode="External" Id="rId380"/><Relationship Type="http://schemas.openxmlformats.org/officeDocument/2006/relationships/hyperlink" Target="https://www.cars.com/shopping/results/?stock_type=used&amp;makes[]=volkswagen&amp;models[]=volkswagen-tiguan&amp;maximum_distance=250&amp;zip=93720&amp;list_price_min=21000&amp;list_price_max=28500&amp;mileage_min=5000&amp;mileage_max=35000" TargetMode="External" Id="rId381"/><Relationship Type="http://schemas.openxmlformats.org/officeDocument/2006/relationships/hyperlink" Target="https://www.cars.com/shopping/results/?stock_type=used&amp;makes[]=volkswagen&amp;models[]=volkswagen-tiguan&amp;maximum_distance=250&amp;zip=93720&amp;list_price_min=17000&amp;list_price_max=23000&amp;mileage_min=25000&amp;mileage_max=55000" TargetMode="External" Id="rId382"/><Relationship Type="http://schemas.openxmlformats.org/officeDocument/2006/relationships/hyperlink" Target="https://www.cars.com/shopping/results/?stock_type=used&amp;makes[]=volkswagen&amp;models[]=volkswagen-tiguan&amp;maximum_distance=250&amp;zip=93720&amp;list_price_min=14000&amp;list_price_max=19000&amp;mileage_min=45000&amp;mileage_max=75000" TargetMode="External" Id="rId383"/><Relationship Type="http://schemas.openxmlformats.org/officeDocument/2006/relationships/hyperlink" Target="https://www.cars.com/shopping/results/?stock_type=used&amp;makes[]=volkswagen&amp;models[]=volkswagen-tiguan&amp;maximum_distance=250&amp;zip=93720&amp;list_price_min=11500&amp;list_price_max=16000&amp;mileage_min=65000&amp;mileage_max=95000" TargetMode="External" Id="rId384"/><Relationship Type="http://schemas.openxmlformats.org/officeDocument/2006/relationships/hyperlink" Target="https://www.cars.com/shopping/results/?stock_type=used&amp;makes[]=volkswagen&amp;models[]=volkswagen-tiguan&amp;maximum_distance=250&amp;zip=93720&amp;list_price_min=9500&amp;list_price_max=13000&amp;mileage_min=85000&amp;mileage_max=115000" TargetMode="External" Id="rId385"/><Relationship Type="http://schemas.openxmlformats.org/officeDocument/2006/relationships/hyperlink" Target="https://www.cars.com/shopping/results/?stock_type=used&amp;makes[]=volkswagen&amp;models[]=volkswagen-tiguan&amp;maximum_distance=250&amp;zip=93720&amp;list_price_min=14000&amp;list_price_max=19000" TargetMode="External" Id="rId386"/><Relationship Type="http://schemas.openxmlformats.org/officeDocument/2006/relationships/hyperlink" Target="https://www.cars.com/shopping/results/?stock_type=used&amp;makes[]=chrysler&amp;models[]=chrysler-pacifica_hybrid&amp;maximum_distance=250&amp;zip=93720&amp;list_price_min=28500&amp;list_price_max=39000&amp;mileage_min=0&amp;mileage_max=25000" TargetMode="External" Id="rId387"/><Relationship Type="http://schemas.openxmlformats.org/officeDocument/2006/relationships/hyperlink" Target="https://www.cars.com/shopping/results/?stock_type=used&amp;makes[]=chrysler&amp;models[]=chrysler-pacifica_hybrid&amp;maximum_distance=250&amp;zip=93720&amp;list_price_min=28500&amp;list_price_max=39000&amp;mileage_min=5000&amp;mileage_max=35000" TargetMode="External" Id="rId388"/><Relationship Type="http://schemas.openxmlformats.org/officeDocument/2006/relationships/hyperlink" Target="https://www.cars.com/shopping/results/?stock_type=used&amp;makes[]=chrysler&amp;models[]=chrysler-pacifica_hybrid&amp;maximum_distance=250&amp;zip=93720&amp;list_price_min=23000&amp;list_price_max=31500&amp;mileage_min=25000&amp;mileage_max=55000" TargetMode="External" Id="rId389"/><Relationship Type="http://schemas.openxmlformats.org/officeDocument/2006/relationships/hyperlink" Target="https://www.cars.com/shopping/results/?stock_type=used&amp;makes[]=chrysler&amp;models[]=chrysler-pacifica_hybrid&amp;maximum_distance=250&amp;zip=93720&amp;list_price_min=19500&amp;list_price_max=26000&amp;mileage_min=45000&amp;mileage_max=75000" TargetMode="External" Id="rId390"/><Relationship Type="http://schemas.openxmlformats.org/officeDocument/2006/relationships/hyperlink" Target="https://www.cars.com/shopping/results/?stock_type=used&amp;makes[]=chrysler&amp;models[]=chrysler-pacifica_hybrid&amp;maximum_distance=250&amp;zip=93720&amp;list_price_min=16000&amp;list_price_max=22000&amp;mileage_min=65000&amp;mileage_max=95000" TargetMode="External" Id="rId391"/><Relationship Type="http://schemas.openxmlformats.org/officeDocument/2006/relationships/hyperlink" Target="https://www.cars.com/shopping/results/?stock_type=used&amp;makes[]=chrysler&amp;models[]=chrysler-pacifica_hybrid&amp;maximum_distance=250&amp;zip=93720&amp;list_price_min=13500&amp;list_price_max=18000&amp;mileage_min=85000&amp;mileage_max=115000" TargetMode="External" Id="rId392"/><Relationship Type="http://schemas.openxmlformats.org/officeDocument/2006/relationships/hyperlink" Target="https://www.cars.com/shopping/results/?stock_type=used&amp;makes[]=chrysler&amp;models[]=chrysler-pacifica_hybrid&amp;maximum_distance=250&amp;zip=93720&amp;list_price_min=11000&amp;list_price_max=15000&amp;mileage_min=105000&amp;mileage_max=135000" TargetMode="External" Id="rId393"/><Relationship Type="http://schemas.openxmlformats.org/officeDocument/2006/relationships/hyperlink" Target="https://www.cars.com/shopping/results/?stock_type=used&amp;makes[]=chrysler&amp;models[]=chrysler-pacifica_hybrid&amp;maximum_distance=250&amp;zip=93720&amp;list_price_min=18500&amp;list_price_max=25000" TargetMode="External" Id="rId394"/><Relationship Type="http://schemas.openxmlformats.org/officeDocument/2006/relationships/hyperlink" Target="https://www.cars.com/shopping/results/?stock_type=used&amp;makes[]=subaru&amp;models[]=subaru-ascent&amp;maximum_distance=250&amp;zip=93720&amp;list_price_min=25500&amp;list_price_max=34500&amp;mileage_min=0&amp;mileage_max=25000" TargetMode="External" Id="rId395"/><Relationship Type="http://schemas.openxmlformats.org/officeDocument/2006/relationships/hyperlink" Target="https://www.cars.com/shopping/results/?stock_type=used&amp;makes[]=subaru&amp;models[]=subaru-ascent&amp;maximum_distance=250&amp;zip=93720&amp;list_price_min=25500&amp;list_price_max=34500&amp;mileage_min=5000&amp;mileage_max=35000" TargetMode="External" Id="rId396"/><Relationship Type="http://schemas.openxmlformats.org/officeDocument/2006/relationships/hyperlink" Target="https://www.cars.com/shopping/results/?stock_type=used&amp;makes[]=subaru&amp;models[]=subaru-ascent&amp;maximum_distance=250&amp;zip=93720&amp;list_price_min=22000&amp;list_price_max=29500&amp;mileage_min=25000&amp;mileage_max=55000" TargetMode="External" Id="rId397"/><Relationship Type="http://schemas.openxmlformats.org/officeDocument/2006/relationships/hyperlink" Target="https://www.cars.com/shopping/results/?stock_type=used&amp;makes[]=subaru&amp;models[]=subaru-ascent&amp;maximum_distance=250&amp;zip=93720&amp;list_price_min=19000&amp;list_price_max=25500&amp;mileage_min=45000&amp;mileage_max=75000" TargetMode="External" Id="rId398"/><Relationship Type="http://schemas.openxmlformats.org/officeDocument/2006/relationships/hyperlink" Target="https://www.cars.com/shopping/results/?stock_type=used&amp;makes[]=subaru&amp;models[]=subaru-ascent&amp;maximum_distance=250&amp;zip=93720&amp;list_price_min=16500&amp;list_price_max=22500&amp;mileage_min=65000&amp;mileage_max=95000" TargetMode="External" Id="rId399"/><Relationship Type="http://schemas.openxmlformats.org/officeDocument/2006/relationships/hyperlink" Target="https://www.cars.com/shopping/results/?stock_type=used&amp;makes[]=subaru&amp;models[]=subaru-ascent&amp;maximum_distance=250&amp;zip=93720&amp;list_price_min=19500&amp;list_price_max=26500" TargetMode="External" Id="rId400"/><Relationship Type="http://schemas.openxmlformats.org/officeDocument/2006/relationships/hyperlink" Target="https://www.cars.com/shopping/results/?stock_type=used&amp;makes[]=ford&amp;models[]=ford-ranger&amp;maximum_distance=250&amp;zip=93720&amp;list_price_min=30500&amp;list_price_max=41000&amp;mileage_min=0&amp;mileage_max=25000&amp;year_min=2019" TargetMode="External" Id="rId401"/><Relationship Type="http://schemas.openxmlformats.org/officeDocument/2006/relationships/hyperlink" Target="https://www.cars.com/shopping/results/?stock_type=used&amp;makes[]=ford&amp;models[]=ford-ranger&amp;maximum_distance=250&amp;zip=93720&amp;list_price_min=29000&amp;list_price_max=39000&amp;mileage_min=5000&amp;mileage_max=35000&amp;year_min=2019" TargetMode="External" Id="rId402"/><Relationship Type="http://schemas.openxmlformats.org/officeDocument/2006/relationships/hyperlink" Target="https://www.cars.com/shopping/results/?stock_type=used&amp;makes[]=ford&amp;models[]=ford-ranger&amp;maximum_distance=250&amp;zip=93720&amp;list_price_min=22000&amp;list_price_max=30000&amp;mileage_min=25000&amp;mileage_max=55000&amp;year_min=2019" TargetMode="External" Id="rId403"/><Relationship Type="http://schemas.openxmlformats.org/officeDocument/2006/relationships/hyperlink" Target="https://www.cars.com/shopping/results/?stock_type=used&amp;makes[]=ford&amp;models[]=ford-ranger&amp;maximum_distance=250&amp;zip=93720&amp;list_price_min=19000&amp;list_price_max=25500&amp;mileage_min=45000&amp;mileage_max=75000&amp;year_min=2019" TargetMode="External" Id="rId404"/><Relationship Type="http://schemas.openxmlformats.org/officeDocument/2006/relationships/hyperlink" Target="https://www.cars.com/shopping/results/?stock_type=used&amp;makes[]=ford&amp;models[]=ford-ranger&amp;maximum_distance=250&amp;zip=93720&amp;list_price_min=17000&amp;list_price_max=23500&amp;mileage_min=65000&amp;mileage_max=95000&amp;year_min=2019" TargetMode="External" Id="rId405"/><Relationship Type="http://schemas.openxmlformats.org/officeDocument/2006/relationships/hyperlink" Target="https://www.cars.com/shopping/results/?stock_type=used&amp;makes[]=ford&amp;models[]=ford-ranger&amp;maximum_distance=250&amp;zip=93720&amp;list_price_min=19500&amp;list_price_max=26000&amp;year_min=2019" TargetMode="External" Id="rId406"/><Relationship Type="http://schemas.openxmlformats.org/officeDocument/2006/relationships/hyperlink" Target="https://www.cars.com/shopping/results/?stock_type=used&amp;makes[]=honda&amp;models[]=honda-pilot&amp;maximum_distance=250&amp;zip=93720&amp;list_price_min=32000&amp;list_price_max=43500&amp;mileage_min=0&amp;mileage_max=25000" TargetMode="External" Id="rId407"/><Relationship Type="http://schemas.openxmlformats.org/officeDocument/2006/relationships/hyperlink" Target="https://www.cars.com/shopping/results/?stock_type=used&amp;makes[]=honda&amp;models[]=honda-pilot&amp;maximum_distance=250&amp;zip=93720&amp;list_price_min=31000&amp;list_price_max=42000&amp;mileage_min=5000&amp;mileage_max=35000" TargetMode="External" Id="rId408"/><Relationship Type="http://schemas.openxmlformats.org/officeDocument/2006/relationships/hyperlink" Target="https://www.cars.com/shopping/results/?stock_type=used&amp;makes[]=honda&amp;models[]=honda-pilot&amp;maximum_distance=250&amp;zip=93720&amp;list_price_min=26000&amp;list_price_max=35500&amp;mileage_min=25000&amp;mileage_max=55000" TargetMode="External" Id="rId409"/><Relationship Type="http://schemas.openxmlformats.org/officeDocument/2006/relationships/hyperlink" Target="https://www.cars.com/shopping/results/?stock_type=used&amp;makes[]=honda&amp;models[]=honda-pilot&amp;maximum_distance=250&amp;zip=93720&amp;list_price_min=22500&amp;list_price_max=31000&amp;mileage_min=45000&amp;mileage_max=75000" TargetMode="External" Id="rId410"/><Relationship Type="http://schemas.openxmlformats.org/officeDocument/2006/relationships/hyperlink" Target="https://www.cars.com/shopping/results/?stock_type=used&amp;makes[]=honda&amp;models[]=honda-pilot&amp;maximum_distance=250&amp;zip=93720&amp;list_price_min=19500&amp;list_price_max=26500&amp;mileage_min=65000&amp;mileage_max=95000" TargetMode="External" Id="rId411"/><Relationship Type="http://schemas.openxmlformats.org/officeDocument/2006/relationships/hyperlink" Target="https://www.cars.com/shopping/results/?stock_type=used&amp;makes[]=honda&amp;models[]=honda-pilot&amp;maximum_distance=250&amp;zip=93720&amp;list_price_min=17000&amp;list_price_max=23000&amp;mileage_min=85000&amp;mileage_max=115000" TargetMode="External" Id="rId412"/><Relationship Type="http://schemas.openxmlformats.org/officeDocument/2006/relationships/hyperlink" Target="https://www.cars.com/shopping/results/?stock_type=used&amp;makes[]=honda&amp;models[]=honda-pilot&amp;maximum_distance=250&amp;zip=93720&amp;list_price_min=14500&amp;list_price_max=19500&amp;mileage_min=105000&amp;mileage_max=135000" TargetMode="External" Id="rId413"/><Relationship Type="http://schemas.openxmlformats.org/officeDocument/2006/relationships/hyperlink" Target="https://www.cars.com/shopping/results/?stock_type=used&amp;makes[]=honda&amp;models[]=honda-pilot&amp;maximum_distance=250&amp;zip=93720&amp;list_price_min=11000&amp;list_price_max=15000&amp;mileage_min=135000&amp;mileage_max=165000" TargetMode="External" Id="rId414"/><Relationship Type="http://schemas.openxmlformats.org/officeDocument/2006/relationships/hyperlink" Target="https://www.cars.com/shopping/results/?stock_type=used&amp;makes[]=honda&amp;models[]=honda-pilot&amp;maximum_distance=250&amp;zip=93720&amp;list_price_min=8500&amp;list_price_max=11500&amp;mileage_min=165000&amp;mileage_max=195000" TargetMode="External" Id="rId415"/><Relationship Type="http://schemas.openxmlformats.org/officeDocument/2006/relationships/hyperlink" Target="https://www.cars.com/shopping/results/?stock_type=used&amp;makes[]=honda&amp;models[]=honda-pilot&amp;maximum_distance=250&amp;zip=93720&amp;list_price_min=19000&amp;list_price_max=25500" TargetMode="External" Id="rId416"/><Relationship Type="http://schemas.openxmlformats.org/officeDocument/2006/relationships/hyperlink" Target="https://www.cars.com/shopping/results/?stock_type=used&amp;makes[]=mini&amp;models[]=mini-countryman&amp;maximum_distance=250&amp;zip=93720&amp;list_price_min=23500&amp;list_price_max=32000&amp;mileage_min=0&amp;mileage_max=25000" TargetMode="External" Id="rId417"/><Relationship Type="http://schemas.openxmlformats.org/officeDocument/2006/relationships/hyperlink" Target="https://www.cars.com/shopping/results/?stock_type=used&amp;makes[]=mini&amp;models[]=mini-countryman&amp;maximum_distance=250&amp;zip=93720&amp;list_price_min=22500&amp;list_price_max=30500&amp;mileage_min=5000&amp;mileage_max=35000" TargetMode="External" Id="rId418"/><Relationship Type="http://schemas.openxmlformats.org/officeDocument/2006/relationships/hyperlink" Target="https://www.cars.com/shopping/results/?stock_type=used&amp;makes[]=mini&amp;models[]=mini-countryman&amp;maximum_distance=250&amp;zip=93720&amp;list_price_min=18500&amp;list_price_max=25000&amp;mileage_min=25000&amp;mileage_max=55000" TargetMode="External" Id="rId419"/><Relationship Type="http://schemas.openxmlformats.org/officeDocument/2006/relationships/hyperlink" Target="https://www.cars.com/shopping/results/?stock_type=used&amp;makes[]=mini&amp;models[]=mini-countryman&amp;maximum_distance=250&amp;zip=93720&amp;list_price_min=15000&amp;list_price_max=20500&amp;mileage_min=45000&amp;mileage_max=75000" TargetMode="External" Id="rId420"/><Relationship Type="http://schemas.openxmlformats.org/officeDocument/2006/relationships/hyperlink" Target="https://www.cars.com/shopping/results/?stock_type=used&amp;makes[]=mini&amp;models[]=mini-countryman&amp;maximum_distance=250&amp;zip=93720&amp;list_price_min=12500&amp;list_price_max=17000&amp;mileage_min=65000&amp;mileage_max=95000" TargetMode="External" Id="rId421"/><Relationship Type="http://schemas.openxmlformats.org/officeDocument/2006/relationships/hyperlink" Target="https://www.cars.com/shopping/results/?stock_type=used&amp;makes[]=mini&amp;models[]=mini-countryman&amp;maximum_distance=250&amp;zip=93720&amp;list_price_min=10000&amp;list_price_max=14000&amp;mileage_min=85000&amp;mileage_max=115000" TargetMode="External" Id="rId422"/><Relationship Type="http://schemas.openxmlformats.org/officeDocument/2006/relationships/hyperlink" Target="https://www.cars.com/shopping/results/?stock_type=used&amp;makes[]=mini&amp;models[]=mini-countryman&amp;maximum_distance=250&amp;zip=93720&amp;list_price_min=8000&amp;list_price_max=11000&amp;mileage_min=105000&amp;mileage_max=135000" TargetMode="External" Id="rId423"/><Relationship Type="http://schemas.openxmlformats.org/officeDocument/2006/relationships/hyperlink" Target="https://www.cars.com/shopping/results/?stock_type=used&amp;makes[]=mini&amp;models[]=mini-countryman&amp;maximum_distance=250&amp;zip=93720&amp;list_price_min=6000&amp;list_price_max=8000&amp;mileage_min=135000&amp;mileage_max=165000" TargetMode="External" Id="rId424"/><Relationship Type="http://schemas.openxmlformats.org/officeDocument/2006/relationships/hyperlink" Target="https://www.cars.com/shopping/results/?stock_type=used&amp;makes[]=mini&amp;models[]=mini-countryman&amp;maximum_distance=250&amp;zip=93720&amp;list_price_min=16000&amp;list_price_max=21500" TargetMode="External" Id="rId425"/><Relationship Type="http://schemas.openxmlformats.org/officeDocument/2006/relationships/hyperlink" Target="https://www.cars.com/shopping/results/?stock_type=used&amp;makes[]=toyota&amp;models[]=toyota-sequoia&amp;maximum_distance=250&amp;zip=93720&amp;list_price_min=35500&amp;list_price_max=48000&amp;mileage_min=0&amp;mileage_max=25000" TargetMode="External" Id="rId426"/><Relationship Type="http://schemas.openxmlformats.org/officeDocument/2006/relationships/hyperlink" Target="https://www.cars.com/shopping/results/?stock_type=used&amp;makes[]=toyota&amp;models[]=toyota-sequoia&amp;maximum_distance=250&amp;zip=93720&amp;list_price_min=35500&amp;list_price_max=48000&amp;mileage_min=5000&amp;mileage_max=35000" TargetMode="External" Id="rId427"/><Relationship Type="http://schemas.openxmlformats.org/officeDocument/2006/relationships/hyperlink" Target="https://www.cars.com/shopping/results/?stock_type=used&amp;makes[]=toyota&amp;models[]=toyota-sequoia&amp;maximum_distance=250&amp;zip=93720&amp;list_price_min=34000&amp;list_price_max=46000&amp;mileage_min=25000&amp;mileage_max=55000" TargetMode="External" Id="rId428"/><Relationship Type="http://schemas.openxmlformats.org/officeDocument/2006/relationships/hyperlink" Target="https://www.cars.com/shopping/results/?stock_type=used&amp;makes[]=toyota&amp;models[]=toyota-sequoia&amp;maximum_distance=250&amp;zip=93720&amp;list_price_min=30500&amp;list_price_max=41000&amp;mileage_min=45000&amp;mileage_max=75000" TargetMode="External" Id="rId429"/><Relationship Type="http://schemas.openxmlformats.org/officeDocument/2006/relationships/hyperlink" Target="https://www.cars.com/shopping/results/?stock_type=used&amp;makes[]=toyota&amp;models[]=toyota-sequoia&amp;maximum_distance=250&amp;zip=93720&amp;list_price_min=27000&amp;list_price_max=37000&amp;mileage_min=65000&amp;mileage_max=95000" TargetMode="External" Id="rId430"/><Relationship Type="http://schemas.openxmlformats.org/officeDocument/2006/relationships/hyperlink" Target="https://www.cars.com/shopping/results/?stock_type=used&amp;makes[]=toyota&amp;models[]=toyota-sequoia&amp;maximum_distance=250&amp;zip=93720&amp;list_price_min=24000&amp;list_price_max=33000&amp;mileage_min=85000&amp;mileage_max=115000" TargetMode="External" Id="rId431"/><Relationship Type="http://schemas.openxmlformats.org/officeDocument/2006/relationships/hyperlink" Target="https://www.cars.com/shopping/results/?stock_type=used&amp;makes[]=toyota&amp;models[]=toyota-sequoia&amp;maximum_distance=250&amp;zip=93720&amp;list_price_min=21500&amp;list_price_max=29000&amp;mileage_min=105000&amp;mileage_max=135000" TargetMode="External" Id="rId432"/><Relationship Type="http://schemas.openxmlformats.org/officeDocument/2006/relationships/hyperlink" Target="https://www.cars.com/shopping/results/?stock_type=used&amp;makes[]=toyota&amp;models[]=toyota-sequoia&amp;maximum_distance=250&amp;zip=93720&amp;list_price_min=17500&amp;list_price_max=24000&amp;mileage_min=135000&amp;mileage_max=165000" TargetMode="External" Id="rId433"/><Relationship Type="http://schemas.openxmlformats.org/officeDocument/2006/relationships/hyperlink" Target="https://www.cars.com/shopping/results/?stock_type=used&amp;makes[]=toyota&amp;models[]=toyota-sequoia&amp;maximum_distance=250&amp;zip=93720&amp;list_price_min=14500&amp;list_price_max=19500&amp;mileage_min=165000&amp;mileage_max=195000" TargetMode="External" Id="rId434"/><Relationship Type="http://schemas.openxmlformats.org/officeDocument/2006/relationships/hyperlink" Target="https://www.cars.com/shopping/results/?stock_type=used&amp;makes[]=toyota&amp;models[]=toyota-sequoia&amp;maximum_distance=250&amp;zip=93720&amp;list_price_min=27000&amp;list_price_max=37000" TargetMode="External" Id="rId435"/><Relationship Type="http://schemas.openxmlformats.org/officeDocument/2006/relationships/hyperlink" Target="https://www.cars.com/shopping/results/?stock_type=used&amp;makes[]=hyundai&amp;models[]=hyundai-palisade&amp;maximum_distance=250&amp;zip=93720&amp;list_price_min=30500&amp;list_price_max=41000&amp;mileage_min=0&amp;mileage_max=25000" TargetMode="External" Id="rId436"/><Relationship Type="http://schemas.openxmlformats.org/officeDocument/2006/relationships/hyperlink" Target="https://www.cars.com/shopping/results/?stock_type=used&amp;makes[]=hyundai&amp;models[]=hyundai-palisade&amp;maximum_distance=250&amp;zip=93720&amp;list_price_min=30500&amp;list_price_max=41000&amp;mileage_min=5000&amp;mileage_max=35000" TargetMode="External" Id="rId437"/><Relationship Type="http://schemas.openxmlformats.org/officeDocument/2006/relationships/hyperlink" Target="https://www.cars.com/shopping/results/?stock_type=used&amp;makes[]=hyundai&amp;models[]=hyundai-palisade&amp;maximum_distance=250&amp;zip=93720&amp;list_price_min=27000&amp;list_price_max=36500&amp;mileage_min=25000&amp;mileage_max=55000" TargetMode="External" Id="rId438"/><Relationship Type="http://schemas.openxmlformats.org/officeDocument/2006/relationships/hyperlink" Target="https://www.cars.com/shopping/results/?stock_type=used&amp;makes[]=hyundai&amp;models[]=hyundai-palisade&amp;maximum_distance=250&amp;zip=93720&amp;list_price_min=23500&amp;list_price_max=32000&amp;mileage_min=45000&amp;mileage_max=75000" TargetMode="External" Id="rId439"/><Relationship Type="http://schemas.openxmlformats.org/officeDocument/2006/relationships/hyperlink" Target="https://www.cars.com/shopping/results/?stock_type=used&amp;makes[]=hyundai&amp;models[]=hyundai-palisade&amp;maximum_distance=250&amp;zip=93720&amp;list_price_min=20500&amp;list_price_max=28000&amp;mileage_min=65000&amp;mileage_max=95000" TargetMode="External" Id="rId440"/><Relationship Type="http://schemas.openxmlformats.org/officeDocument/2006/relationships/hyperlink" Target="https://www.cars.com/shopping/results/?stock_type=used&amp;makes[]=hyundai&amp;models[]=hyundai-palisade&amp;maximum_distance=250&amp;zip=93720&amp;list_price_min=26000&amp;list_price_max=35500" TargetMode="External" Id="rId441"/><Relationship Type="http://schemas.openxmlformats.org/officeDocument/2006/relationships/hyperlink" Target="https://www.cars.com/shopping/results/?stock_type=used&amp;makes[]=chrysler&amp;models[]=chrysler-pacifica&amp;maximum_distance=250&amp;zip=93720&amp;list_price_min=25500&amp;list_price_max=34500&amp;mileage_min=0&amp;mileage_max=25000" TargetMode="External" Id="rId442"/><Relationship Type="http://schemas.openxmlformats.org/officeDocument/2006/relationships/hyperlink" Target="https://www.cars.com/shopping/results/?stock_type=used&amp;makes[]=chrysler&amp;models[]=chrysler-pacifica&amp;maximum_distance=250&amp;zip=93720&amp;list_price_min=25500&amp;list_price_max=34500&amp;mileage_min=5000&amp;mileage_max=35000" TargetMode="External" Id="rId443"/><Relationship Type="http://schemas.openxmlformats.org/officeDocument/2006/relationships/hyperlink" Target="https://www.cars.com/shopping/results/?stock_type=used&amp;makes[]=chrysler&amp;models[]=chrysler-pacifica&amp;maximum_distance=250&amp;zip=93720&amp;list_price_min=20000&amp;list_price_max=27000&amp;mileage_min=25000&amp;mileage_max=55000" TargetMode="External" Id="rId444"/><Relationship Type="http://schemas.openxmlformats.org/officeDocument/2006/relationships/hyperlink" Target="https://www.cars.com/shopping/results/?stock_type=used&amp;makes[]=chrysler&amp;models[]=chrysler-pacifica&amp;maximum_distance=250&amp;zip=93720&amp;list_price_min=16000&amp;list_price_max=21500&amp;mileage_min=45000&amp;mileage_max=75000" TargetMode="External" Id="rId445"/><Relationship Type="http://schemas.openxmlformats.org/officeDocument/2006/relationships/hyperlink" Target="https://www.cars.com/shopping/results/?stock_type=used&amp;makes[]=chrysler&amp;models[]=chrysler-pacifica&amp;maximum_distance=250&amp;zip=93720&amp;list_price_min=13000&amp;list_price_max=18000&amp;mileage_min=65000&amp;mileage_max=95000" TargetMode="External" Id="rId446"/><Relationship Type="http://schemas.openxmlformats.org/officeDocument/2006/relationships/hyperlink" Target="https://www.cars.com/shopping/results/?stock_type=used&amp;makes[]=chrysler&amp;models[]=chrysler-pacifica&amp;maximum_distance=250&amp;zip=93720&amp;list_price_min=11000&amp;list_price_max=14500&amp;mileage_min=85000&amp;mileage_max=115000" TargetMode="External" Id="rId447"/><Relationship Type="http://schemas.openxmlformats.org/officeDocument/2006/relationships/hyperlink" Target="https://www.cars.com/shopping/results/?stock_type=used&amp;makes[]=chrysler&amp;models[]=chrysler-pacifica&amp;maximum_distance=250&amp;zip=93720&amp;list_price_min=9000&amp;list_price_max=12500&amp;mileage_min=105000&amp;mileage_max=135000" TargetMode="External" Id="rId448"/><Relationship Type="http://schemas.openxmlformats.org/officeDocument/2006/relationships/hyperlink" Target="https://www.cars.com/shopping/results/?stock_type=used&amp;makes[]=chrysler&amp;models[]=chrysler-pacifica&amp;maximum_distance=250&amp;zip=93720&amp;list_price_min=13500&amp;list_price_max=18500" TargetMode="External" Id="rId449"/><Relationship Type="http://schemas.openxmlformats.org/officeDocument/2006/relationships/hyperlink" Target="https://www.cars.com/shopping/results/?stock_type=used&amp;makes[]=chevrolet&amp;models[]=chevrolet-colorado&amp;maximum_distance=250&amp;zip=93720&amp;list_price_min=32000&amp;list_price_max=43500&amp;mileage_min=0&amp;mileage_max=25000" TargetMode="External" Id="rId450"/><Relationship Type="http://schemas.openxmlformats.org/officeDocument/2006/relationships/hyperlink" Target="https://www.cars.com/shopping/results/?stock_type=used&amp;makes[]=chevrolet&amp;models[]=chevrolet-colorado&amp;maximum_distance=250&amp;zip=93720&amp;list_price_min=28000&amp;list_price_max=38500&amp;mileage_min=5000&amp;mileage_max=35000" TargetMode="External" Id="rId451"/><Relationship Type="http://schemas.openxmlformats.org/officeDocument/2006/relationships/hyperlink" Target="https://www.cars.com/shopping/results/?stock_type=used&amp;makes[]=chevrolet&amp;models[]=chevrolet-colorado&amp;maximum_distance=250&amp;zip=93720&amp;list_price_min=22000&amp;list_price_max=30000&amp;mileage_min=25000&amp;mileage_max=55000" TargetMode="External" Id="rId452"/><Relationship Type="http://schemas.openxmlformats.org/officeDocument/2006/relationships/hyperlink" Target="https://www.cars.com/shopping/results/?stock_type=used&amp;makes[]=chevrolet&amp;models[]=chevrolet-colorado&amp;maximum_distance=250&amp;zip=93720&amp;list_price_min=19500&amp;list_price_max=27000&amp;mileage_min=45000&amp;mileage_max=75000" TargetMode="External" Id="rId453"/><Relationship Type="http://schemas.openxmlformats.org/officeDocument/2006/relationships/hyperlink" Target="https://www.cars.com/shopping/results/?stock_type=used&amp;makes[]=chevrolet&amp;models[]=chevrolet-colorado&amp;maximum_distance=250&amp;zip=93720&amp;list_price_min=18000&amp;list_price_max=24500&amp;mileage_min=65000&amp;mileage_max=95000" TargetMode="External" Id="rId454"/><Relationship Type="http://schemas.openxmlformats.org/officeDocument/2006/relationships/hyperlink" Target="https://www.cars.com/shopping/results/?stock_type=used&amp;makes[]=chevrolet&amp;models[]=chevrolet-colorado&amp;maximum_distance=250&amp;zip=93720&amp;list_price_min=15500&amp;list_price_max=21000&amp;mileage_min=85000&amp;mileage_max=115000" TargetMode="External" Id="rId455"/><Relationship Type="http://schemas.openxmlformats.org/officeDocument/2006/relationships/hyperlink" Target="https://www.cars.com/shopping/results/?stock_type=used&amp;makes[]=chevrolet&amp;models[]=chevrolet-colorado&amp;maximum_distance=250&amp;zip=93720&amp;list_price_min=13500&amp;list_price_max=18000&amp;mileage_min=105000&amp;mileage_max=135000" TargetMode="External" Id="rId456"/><Relationship Type="http://schemas.openxmlformats.org/officeDocument/2006/relationships/hyperlink" Target="https://www.cars.com/shopping/results/?stock_type=used&amp;makes[]=chevrolet&amp;models[]=chevrolet-colorado&amp;maximum_distance=250&amp;zip=93720&amp;list_price_min=19500&amp;list_price_max=27000" TargetMode="External" Id="rId457"/><Relationship Type="http://schemas.openxmlformats.org/officeDocument/2006/relationships/hyperlink" Target="https://www.cars.com/shopping/results/?stock_type=used&amp;makes[]=kia&amp;models[]=kia-telluride&amp;maximum_distance=250&amp;zip=93720&amp;list_price_min=32000&amp;list_price_max=43500&amp;mileage_min=0&amp;mileage_max=25000" TargetMode="External" Id="rId458"/><Relationship Type="http://schemas.openxmlformats.org/officeDocument/2006/relationships/hyperlink" Target="https://www.cars.com/shopping/results/?stock_type=used&amp;makes[]=kia&amp;models[]=kia-telluride&amp;maximum_distance=250&amp;zip=93720&amp;list_price_min=32000&amp;list_price_max=43500&amp;mileage_min=5000&amp;mileage_max=35000" TargetMode="External" Id="rId459"/><Relationship Type="http://schemas.openxmlformats.org/officeDocument/2006/relationships/hyperlink" Target="https://www.cars.com/shopping/results/?stock_type=used&amp;makes[]=kia&amp;models[]=kia-telluride&amp;maximum_distance=250&amp;zip=93720&amp;list_price_min=28500&amp;list_price_max=39000&amp;mileage_min=25000&amp;mileage_max=55000" TargetMode="External" Id="rId460"/><Relationship Type="http://schemas.openxmlformats.org/officeDocument/2006/relationships/hyperlink" Target="https://www.cars.com/shopping/results/?stock_type=used&amp;makes[]=kia&amp;models[]=kia-telluride&amp;maximum_distance=250&amp;zip=93720&amp;list_price_min=25500&amp;list_price_max=34500&amp;mileage_min=45000&amp;mileage_max=75000" TargetMode="External" Id="rId461"/><Relationship Type="http://schemas.openxmlformats.org/officeDocument/2006/relationships/hyperlink" Target="https://www.cars.com/shopping/results/?stock_type=used&amp;makes[]=kia&amp;models[]=kia-telluride&amp;maximum_distance=250&amp;zip=93720&amp;list_price_min=22500&amp;list_price_max=30500&amp;mileage_min=65000&amp;mileage_max=95000" TargetMode="External" Id="rId462"/><Relationship Type="http://schemas.openxmlformats.org/officeDocument/2006/relationships/hyperlink" Target="https://www.cars.com/shopping/results/?stock_type=used&amp;makes[]=kia&amp;models[]=kia-telluride&amp;maximum_distance=250&amp;zip=93720&amp;list_price_min=28000&amp;list_price_max=37500" TargetMode="External" Id="rId463"/><Relationship Type="http://schemas.openxmlformats.org/officeDocument/2006/relationships/hyperlink" Target="https://www.cars.com/shopping/results/?stock_type=used&amp;makes[]=mazda&amp;models[]=mazda-cx_90&amp;maximum_distance=250&amp;zip=93720&amp;list_price_min=38000&amp;list_price_max=51500&amp;mileage_min=0&amp;mileage_max=25000" TargetMode="External" Id="rId464"/><Relationship Type="http://schemas.openxmlformats.org/officeDocument/2006/relationships/hyperlink" Target="https://www.cars.com/shopping/results/?stock_type=used&amp;makes[]=mazda&amp;models[]=mazda-cx_90&amp;maximum_distance=250&amp;zip=93720&amp;list_price_min=35000&amp;list_price_max=47500&amp;mileage_min=5000&amp;mileage_max=35000" TargetMode="External" Id="rId465"/><Relationship Type="http://schemas.openxmlformats.org/officeDocument/2006/relationships/hyperlink" Target="https://www.cars.com/shopping/results/?stock_type=used&amp;makes[]=mazda&amp;models[]=mazda-cx_90&amp;maximum_distance=250&amp;zip=93720&amp;list_price_min=32500&amp;list_price_max=44500" TargetMode="External" Id="rId466"/><Relationship Type="http://schemas.openxmlformats.org/officeDocument/2006/relationships/hyperlink" Target="https://www.cars.com/shopping/results/?stock_type=used&amp;makes[]=chevrolet&amp;models[]=chevrolet-traverse&amp;maximum_distance=250&amp;zip=93720&amp;list_price_min=27000&amp;list_price_max=36500&amp;mileage_min=0&amp;mileage_max=25000" TargetMode="External" Id="rId467"/><Relationship Type="http://schemas.openxmlformats.org/officeDocument/2006/relationships/hyperlink" Target="https://www.cars.com/shopping/results/?stock_type=used&amp;makes[]=chevrolet&amp;models[]=chevrolet-traverse&amp;maximum_distance=250&amp;zip=93720&amp;list_price_min=27000&amp;list_price_max=36500&amp;mileage_min=5000&amp;mileage_max=35000" TargetMode="External" Id="rId468"/><Relationship Type="http://schemas.openxmlformats.org/officeDocument/2006/relationships/hyperlink" Target="https://www.cars.com/shopping/results/?stock_type=used&amp;makes[]=chevrolet&amp;models[]=chevrolet-traverse&amp;maximum_distance=250&amp;zip=93720&amp;list_price_min=22000&amp;list_price_max=30000&amp;mileage_min=25000&amp;mileage_max=55000" TargetMode="External" Id="rId469"/><Relationship Type="http://schemas.openxmlformats.org/officeDocument/2006/relationships/hyperlink" Target="https://www.cars.com/shopping/results/?stock_type=used&amp;makes[]=chevrolet&amp;models[]=chevrolet-traverse&amp;maximum_distance=250&amp;zip=93720&amp;list_price_min=18500&amp;list_price_max=25000&amp;mileage_min=45000&amp;mileage_max=75000" TargetMode="External" Id="rId470"/><Relationship Type="http://schemas.openxmlformats.org/officeDocument/2006/relationships/hyperlink" Target="https://www.cars.com/shopping/results/?stock_type=used&amp;makes[]=chevrolet&amp;models[]=chevrolet-traverse&amp;maximum_distance=250&amp;zip=93720&amp;list_price_min=15500&amp;list_price_max=21000&amp;mileage_min=65000&amp;mileage_max=95000" TargetMode="External" Id="rId471"/><Relationship Type="http://schemas.openxmlformats.org/officeDocument/2006/relationships/hyperlink" Target="https://www.cars.com/shopping/results/?stock_type=used&amp;makes[]=chevrolet&amp;models[]=chevrolet-traverse&amp;maximum_distance=250&amp;zip=93720&amp;list_price_min=13500&amp;list_price_max=18000&amp;mileage_min=85000&amp;mileage_max=115000" TargetMode="External" Id="rId472"/><Relationship Type="http://schemas.openxmlformats.org/officeDocument/2006/relationships/hyperlink" Target="https://www.cars.com/shopping/results/?stock_type=used&amp;makes[]=chevrolet&amp;models[]=chevrolet-traverse&amp;maximum_distance=250&amp;zip=93720&amp;list_price_min=17000&amp;list_price_max=23000" TargetMode="External" Id="rId473"/><Relationship Type="http://schemas.openxmlformats.org/officeDocument/2006/relationships/hyperlink" Target="https://www.cars.com/shopping/results/?stock_type=used&amp;makes[]=volkswagen&amp;models[]=volkswagen-atlas&amp;maximum_distance=250&amp;zip=93720&amp;list_price_min=27000&amp;list_price_max=36500&amp;mileage_min=0&amp;mileage_max=25000" TargetMode="External" Id="rId474"/><Relationship Type="http://schemas.openxmlformats.org/officeDocument/2006/relationships/hyperlink" Target="https://www.cars.com/shopping/results/?stock_type=used&amp;makes[]=volkswagen&amp;models[]=volkswagen-atlas&amp;maximum_distance=250&amp;zip=93720&amp;list_price_min=27000&amp;list_price_max=36500&amp;mileage_min=5000&amp;mileage_max=35000" TargetMode="External" Id="rId475"/><Relationship Type="http://schemas.openxmlformats.org/officeDocument/2006/relationships/hyperlink" Target="https://www.cars.com/shopping/results/?stock_type=used&amp;makes[]=volkswagen&amp;models[]=volkswagen-atlas&amp;maximum_distance=250&amp;zip=93720&amp;list_price_min=22000&amp;list_price_max=30000&amp;mileage_min=25000&amp;mileage_max=55000" TargetMode="External" Id="rId476"/><Relationship Type="http://schemas.openxmlformats.org/officeDocument/2006/relationships/hyperlink" Target="https://www.cars.com/shopping/results/?stock_type=used&amp;makes[]=volkswagen&amp;models[]=volkswagen-atlas&amp;maximum_distance=250&amp;zip=93720&amp;list_price_min=18500&amp;list_price_max=25000&amp;mileage_min=45000&amp;mileage_max=75000" TargetMode="External" Id="rId477"/><Relationship Type="http://schemas.openxmlformats.org/officeDocument/2006/relationships/hyperlink" Target="https://www.cars.com/shopping/results/?stock_type=used&amp;makes[]=volkswagen&amp;models[]=volkswagen-atlas&amp;maximum_distance=250&amp;zip=93720&amp;list_price_min=15500&amp;list_price_max=21000&amp;mileage_min=65000&amp;mileage_max=95000" TargetMode="External" Id="rId478"/><Relationship Type="http://schemas.openxmlformats.org/officeDocument/2006/relationships/hyperlink" Target="https://www.cars.com/shopping/results/?stock_type=used&amp;makes[]=volkswagen&amp;models[]=volkswagen-atlas&amp;maximum_distance=250&amp;zip=93720&amp;list_price_min=12500&amp;list_price_max=17000&amp;mileage_min=85000&amp;mileage_max=115000" TargetMode="External" Id="rId479"/><Relationship Type="http://schemas.openxmlformats.org/officeDocument/2006/relationships/hyperlink" Target="https://www.cars.com/shopping/results/?stock_type=used&amp;makes[]=volkswagen&amp;models[]=volkswagen-atlas&amp;maximum_distance=250&amp;zip=93720&amp;list_price_min=17500&amp;list_price_max=24000" TargetMode="External" Id="rId480"/><Relationship Type="http://schemas.openxmlformats.org/officeDocument/2006/relationships/hyperlink" Target="https://www.cars.com/shopping/results/?stock_type=used&amp;makes[]=ford&amp;models[]=ford-explorer&amp;maximum_distance=250&amp;zip=93720&amp;list_price_min=28000&amp;list_price_max=37500&amp;mileage_min=0&amp;mileage_max=25000" TargetMode="External" Id="rId481"/><Relationship Type="http://schemas.openxmlformats.org/officeDocument/2006/relationships/hyperlink" Target="https://www.cars.com/shopping/results/?stock_type=used&amp;makes[]=ford&amp;models[]=ford-explorer&amp;maximum_distance=250&amp;zip=93720&amp;list_price_min=28000&amp;list_price_max=37500&amp;mileage_min=5000&amp;mileage_max=35000" TargetMode="External" Id="rId482"/><Relationship Type="http://schemas.openxmlformats.org/officeDocument/2006/relationships/hyperlink" Target="https://www.cars.com/shopping/results/?stock_type=used&amp;makes[]=ford&amp;models[]=ford-explorer&amp;maximum_distance=250&amp;zip=93720&amp;list_price_min=23000&amp;list_price_max=31500&amp;mileage_min=25000&amp;mileage_max=55000" TargetMode="External" Id="rId483"/><Relationship Type="http://schemas.openxmlformats.org/officeDocument/2006/relationships/hyperlink" Target="https://www.cars.com/shopping/results/?stock_type=used&amp;makes[]=ford&amp;models[]=ford-explorer&amp;maximum_distance=250&amp;zip=93720&amp;list_price_min=19500&amp;list_price_max=26000&amp;mileage_min=45000&amp;mileage_max=75000" TargetMode="External" Id="rId484"/><Relationship Type="http://schemas.openxmlformats.org/officeDocument/2006/relationships/hyperlink" Target="https://www.cars.com/shopping/results/?stock_type=used&amp;makes[]=ford&amp;models[]=ford-explorer&amp;maximum_distance=250&amp;zip=93720&amp;list_price_min=16000&amp;list_price_max=22000&amp;mileage_min=65000&amp;mileage_max=95000" TargetMode="External" Id="rId485"/><Relationship Type="http://schemas.openxmlformats.org/officeDocument/2006/relationships/hyperlink" Target="https://www.cars.com/shopping/results/?stock_type=used&amp;makes[]=ford&amp;models[]=ford-explorer&amp;maximum_distance=250&amp;zip=93720&amp;list_price_min=13500&amp;list_price_max=18000&amp;mileage_min=85000&amp;mileage_max=115000" TargetMode="External" Id="rId486"/><Relationship Type="http://schemas.openxmlformats.org/officeDocument/2006/relationships/hyperlink" Target="https://www.cars.com/shopping/results/?stock_type=used&amp;makes[]=ford&amp;models[]=ford-explorer&amp;maximum_distance=250&amp;zip=93720&amp;list_price_min=11000&amp;list_price_max=15000&amp;mileage_min=105000&amp;mileage_max=135000" TargetMode="External" Id="rId487"/><Relationship Type="http://schemas.openxmlformats.org/officeDocument/2006/relationships/hyperlink" Target="https://www.cars.com/shopping/results/?stock_type=used&amp;makes[]=ford&amp;models[]=ford-explorer&amp;maximum_distance=250&amp;zip=93720&amp;list_price_min=8500&amp;list_price_max=11500&amp;mileage_min=135000&amp;mileage_max=165000" TargetMode="External" Id="rId488"/><Relationship Type="http://schemas.openxmlformats.org/officeDocument/2006/relationships/hyperlink" Target="https://www.cars.com/shopping/results/?stock_type=used&amp;makes[]=ford&amp;models[]=ford-explorer&amp;maximum_distance=250&amp;zip=93720&amp;list_price_min=17500&amp;list_price_max=24000" TargetMode="External" Id="rId489"/><Relationship Type="http://schemas.openxmlformats.org/officeDocument/2006/relationships/hyperlink" Target="https://www.cars.com/shopping/results/?stock_type=used&amp;makes[]=buick&amp;models[]=buick-enclave&amp;maximum_distance=250&amp;zip=93720&amp;list_price_min=28500&amp;list_price_max=39000&amp;mileage_min=0&amp;mileage_max=25000" TargetMode="External" Id="rId490"/><Relationship Type="http://schemas.openxmlformats.org/officeDocument/2006/relationships/hyperlink" Target="https://www.cars.com/shopping/results/?stock_type=used&amp;makes[]=buick&amp;models[]=buick-enclave&amp;maximum_distance=250&amp;zip=93720&amp;list_price_min=28500&amp;list_price_max=39000&amp;mileage_min=5000&amp;mileage_max=35000" TargetMode="External" Id="rId491"/><Relationship Type="http://schemas.openxmlformats.org/officeDocument/2006/relationships/hyperlink" Target="https://www.cars.com/shopping/results/?stock_type=used&amp;makes[]=buick&amp;models[]=buick-enclave&amp;maximum_distance=250&amp;zip=93720&amp;list_price_min=23000&amp;list_price_max=31500&amp;mileage_min=25000&amp;mileage_max=55000" TargetMode="External" Id="rId492"/><Relationship Type="http://schemas.openxmlformats.org/officeDocument/2006/relationships/hyperlink" Target="https://www.cars.com/shopping/results/?stock_type=used&amp;makes[]=buick&amp;models[]=buick-enclave&amp;maximum_distance=250&amp;zip=93720&amp;list_price_min=19000&amp;list_price_max=25500&amp;mileage_min=45000&amp;mileage_max=75000" TargetMode="External" Id="rId493"/><Relationship Type="http://schemas.openxmlformats.org/officeDocument/2006/relationships/hyperlink" Target="https://www.cars.com/shopping/results/?stock_type=used&amp;makes[]=buick&amp;models[]=buick-enclave&amp;maximum_distance=250&amp;zip=93720&amp;list_price_min=15500&amp;list_price_max=21000&amp;mileage_min=65000&amp;mileage_max=95000" TargetMode="External" Id="rId494"/><Relationship Type="http://schemas.openxmlformats.org/officeDocument/2006/relationships/hyperlink" Target="https://www.cars.com/shopping/results/?stock_type=used&amp;makes[]=buick&amp;models[]=buick-enclave&amp;maximum_distance=250&amp;zip=93720&amp;list_price_min=12500&amp;list_price_max=17000&amp;mileage_min=85000&amp;mileage_max=115000" TargetMode="External" Id="rId495"/><Relationship Type="http://schemas.openxmlformats.org/officeDocument/2006/relationships/hyperlink" Target="https://www.cars.com/shopping/results/?stock_type=used&amp;makes[]=buick&amp;models[]=buick-enclave&amp;maximum_distance=250&amp;zip=93720&amp;list_price_min=10000&amp;list_price_max=14000&amp;mileage_min=105000&amp;mileage_max=135000" TargetMode="External" Id="rId496"/><Relationship Type="http://schemas.openxmlformats.org/officeDocument/2006/relationships/hyperlink" Target="https://www.cars.com/shopping/results/?stock_type=used&amp;makes[]=buick&amp;models[]=buick-enclave&amp;maximum_distance=250&amp;zip=93720&amp;list_price_min=7500&amp;list_price_max=10000&amp;mileage_min=135000&amp;mileage_max=165000" TargetMode="External" Id="rId497"/><Relationship Type="http://schemas.openxmlformats.org/officeDocument/2006/relationships/hyperlink" Target="https://www.cars.com/shopping/results/?stock_type=used&amp;makes[]=buick&amp;models[]=buick-enclave&amp;maximum_distance=250&amp;zip=93720&amp;list_price_min=14000&amp;list_price_max=19000" TargetMode="External" Id="rId498"/><Relationship Type="http://schemas.openxmlformats.org/officeDocument/2006/relationships/hyperlink" Target="https://www.cars.com/shopping/results/?stock_type=used&amp;makes[]=volvo&amp;models[]=volvo-xc60&amp;maximum_distance=250&amp;zip=93720&amp;list_price_min=32000&amp;list_price_max=43500&amp;mileage_min=0&amp;mileage_max=25000" TargetMode="External" Id="rId499"/><Relationship Type="http://schemas.openxmlformats.org/officeDocument/2006/relationships/hyperlink" Target="https://www.cars.com/shopping/results/?stock_type=used&amp;makes[]=volvo&amp;models[]=volvo-xc60&amp;maximum_distance=250&amp;zip=93720&amp;list_price_min=32000&amp;list_price_max=43500&amp;mileage_min=5000&amp;mileage_max=35000" TargetMode="External" Id="rId500"/><Relationship Type="http://schemas.openxmlformats.org/officeDocument/2006/relationships/hyperlink" Target="https://www.cars.com/shopping/results/?stock_type=used&amp;makes[]=volvo&amp;models[]=volvo-xc60&amp;maximum_distance=250&amp;zip=93720&amp;list_price_min=26500&amp;list_price_max=36000&amp;mileage_min=25000&amp;mileage_max=55000" TargetMode="External" Id="rId501"/><Relationship Type="http://schemas.openxmlformats.org/officeDocument/2006/relationships/hyperlink" Target="https://www.cars.com/shopping/results/?stock_type=used&amp;makes[]=volvo&amp;models[]=volvo-xc60&amp;maximum_distance=250&amp;zip=93720&amp;list_price_min=22000&amp;list_price_max=30000&amp;mileage_min=45000&amp;mileage_max=75000" TargetMode="External" Id="rId502"/><Relationship Type="http://schemas.openxmlformats.org/officeDocument/2006/relationships/hyperlink" Target="https://www.cars.com/shopping/results/?stock_type=used&amp;makes[]=volvo&amp;models[]=volvo-xc60&amp;maximum_distance=250&amp;zip=93720&amp;list_price_min=18500&amp;list_price_max=25000&amp;mileage_min=65000&amp;mileage_max=95000" TargetMode="External" Id="rId503"/><Relationship Type="http://schemas.openxmlformats.org/officeDocument/2006/relationships/hyperlink" Target="https://www.cars.com/shopping/results/?stock_type=used&amp;makes[]=volvo&amp;models[]=volvo-xc60&amp;maximum_distance=250&amp;zip=93720&amp;list_price_min=15000&amp;list_price_max=20500&amp;mileage_min=85000&amp;mileage_max=115000" TargetMode="External" Id="rId504"/><Relationship Type="http://schemas.openxmlformats.org/officeDocument/2006/relationships/hyperlink" Target="https://www.cars.com/shopping/results/?stock_type=used&amp;makes[]=volvo&amp;models[]=volvo-xc60&amp;maximum_distance=250&amp;zip=93720&amp;list_price_min=21000&amp;list_price_max=28500" TargetMode="External" Id="rId505"/><Relationship Type="http://schemas.openxmlformats.org/officeDocument/2006/relationships/hyperlink" Target="https://www.cars.com/shopping/results/?stock_type=used&amp;makes[]=chevrolet&amp;models[]=chevrolet-tahoe&amp;maximum_distance=250&amp;zip=93720&amp;list_price_min=38000&amp;list_price_max=51500&amp;mileage_min=0&amp;mileage_max=25000" TargetMode="External" Id="rId506"/><Relationship Type="http://schemas.openxmlformats.org/officeDocument/2006/relationships/hyperlink" Target="https://www.cars.com/shopping/results/?stock_type=used&amp;makes[]=chevrolet&amp;models[]=chevrolet-tahoe&amp;maximum_distance=250&amp;zip=93720&amp;list_price_min=38000&amp;list_price_max=51500&amp;mileage_min=5000&amp;mileage_max=35000" TargetMode="External" Id="rId507"/><Relationship Type="http://schemas.openxmlformats.org/officeDocument/2006/relationships/hyperlink" Target="https://www.cars.com/shopping/results/?stock_type=used&amp;makes[]=chevrolet&amp;models[]=chevrolet-tahoe&amp;maximum_distance=250&amp;zip=93720&amp;list_price_min=36000&amp;list_price_max=49000&amp;mileage_min=25000&amp;mileage_max=55000" TargetMode="External" Id="rId508"/><Relationship Type="http://schemas.openxmlformats.org/officeDocument/2006/relationships/hyperlink" Target="https://www.cars.com/shopping/results/?stock_type=used&amp;makes[]=chevrolet&amp;models[]=chevrolet-tahoe&amp;maximum_distance=250&amp;zip=93720&amp;list_price_min=32500&amp;list_price_max=43500&amp;mileage_min=45000&amp;mileage_max=75000" TargetMode="External" Id="rId509"/><Relationship Type="http://schemas.openxmlformats.org/officeDocument/2006/relationships/hyperlink" Target="https://www.cars.com/shopping/results/?stock_type=used&amp;makes[]=chevrolet&amp;models[]=chevrolet-tahoe&amp;maximum_distance=250&amp;zip=93720&amp;list_price_min=28500&amp;list_price_max=39000&amp;mileage_min=65000&amp;mileage_max=95000" TargetMode="External" Id="rId510"/><Relationship Type="http://schemas.openxmlformats.org/officeDocument/2006/relationships/hyperlink" Target="https://www.cars.com/shopping/results/?stock_type=used&amp;makes[]=chevrolet&amp;models[]=chevrolet-tahoe&amp;maximum_distance=250&amp;zip=93720&amp;list_price_min=25500&amp;list_price_max=34500&amp;mileage_min=85000&amp;mileage_max=115000" TargetMode="External" Id="rId511"/><Relationship Type="http://schemas.openxmlformats.org/officeDocument/2006/relationships/hyperlink" Target="https://www.cars.com/shopping/results/?stock_type=used&amp;makes[]=chevrolet&amp;models[]=chevrolet-tahoe&amp;maximum_distance=250&amp;zip=93720&amp;list_price_min=22000&amp;list_price_max=30000&amp;mileage_min=105000&amp;mileage_max=135000" TargetMode="External" Id="rId512"/><Relationship Type="http://schemas.openxmlformats.org/officeDocument/2006/relationships/hyperlink" Target="https://www.cars.com/shopping/results/?stock_type=used&amp;makes[]=chevrolet&amp;models[]=chevrolet-tahoe&amp;maximum_distance=250&amp;zip=93720&amp;list_price_min=33000&amp;list_price_max=45000" TargetMode="External" Id="rId513"/><Relationship Type="http://schemas.openxmlformats.org/officeDocument/2006/relationships/hyperlink" Target="https://www.cars.com/shopping/results/?stock_type=used&amp;makes[]=jeep&amp;models[]=jeep-grand_cherokee_l&amp;maximum_distance=250&amp;zip=93720&amp;list_price_min=32000&amp;list_price_max=43500&amp;mileage_min=0&amp;mileage_max=25000" TargetMode="External" Id="rId514"/><Relationship Type="http://schemas.openxmlformats.org/officeDocument/2006/relationships/hyperlink" Target="https://www.cars.com/shopping/results/?stock_type=used&amp;makes[]=jeep&amp;models[]=jeep-grand_cherokee_l&amp;maximum_distance=250&amp;zip=93720&amp;list_price_min=32000&amp;list_price_max=43500&amp;mileage_min=5000&amp;mileage_max=35000" TargetMode="External" Id="rId515"/><Relationship Type="http://schemas.openxmlformats.org/officeDocument/2006/relationships/hyperlink" Target="https://www.cars.com/shopping/results/?stock_type=used&amp;makes[]=jeep&amp;models[]=jeep-grand_cherokee_l&amp;maximum_distance=250&amp;zip=93720&amp;list_price_min=27500&amp;list_price_max=37000&amp;mileage_min=25000&amp;mileage_max=55000" TargetMode="External" Id="rId516"/><Relationship Type="http://schemas.openxmlformats.org/officeDocument/2006/relationships/hyperlink" Target="https://www.cars.com/shopping/results/?stock_type=used&amp;makes[]=jeep&amp;models[]=jeep-grand_cherokee_l&amp;maximum_distance=250&amp;zip=93720&amp;list_price_min=23000&amp;list_price_max=31500&amp;mileage_min=45000&amp;mileage_max=75000" TargetMode="External" Id="rId517"/><Relationship Type="http://schemas.openxmlformats.org/officeDocument/2006/relationships/hyperlink" Target="https://www.cars.com/shopping/results/?stock_type=used&amp;makes[]=jeep&amp;models[]=jeep-grand_cherokee_l&amp;maximum_distance=250&amp;zip=93720&amp;list_price_min=24000&amp;list_price_max=32500" TargetMode="External" Id="rId518"/><Relationship Type="http://schemas.openxmlformats.org/officeDocument/2006/relationships/hyperlink" Target="https://www.cars.com/shopping/results/?stock_type=used&amp;makes[]=volvo&amp;models[]=volvo-v90_cross_country&amp;maximum_distance=250&amp;zip=93720&amp;list_price_min=35500&amp;list_price_max=48000&amp;mileage_min=0&amp;mileage_max=25000" TargetMode="External" Id="rId519"/><Relationship Type="http://schemas.openxmlformats.org/officeDocument/2006/relationships/hyperlink" Target="https://www.cars.com/shopping/results/?stock_type=used&amp;makes[]=volvo&amp;models[]=volvo-v90_cross_country&amp;maximum_distance=250&amp;zip=93720&amp;list_price_min=35500&amp;list_price_max=48000&amp;mileage_min=5000&amp;mileage_max=35000" TargetMode="External" Id="rId520"/><Relationship Type="http://schemas.openxmlformats.org/officeDocument/2006/relationships/hyperlink" Target="https://www.cars.com/shopping/results/?stock_type=used&amp;makes[]=volvo&amp;models[]=volvo-v90_cross_country&amp;maximum_distance=250&amp;zip=93720&amp;list_price_min=31500&amp;list_price_max=42500&amp;mileage_min=25000&amp;mileage_max=55000" TargetMode="External" Id="rId521"/><Relationship Type="http://schemas.openxmlformats.org/officeDocument/2006/relationships/hyperlink" Target="https://www.cars.com/shopping/results/?stock_type=used&amp;makes[]=volvo&amp;models[]=volvo-v90_cross_country&amp;maximum_distance=250&amp;zip=93720&amp;list_price_min=26500&amp;list_price_max=35500&amp;mileage_min=45000&amp;mileage_max=75000" TargetMode="External" Id="rId522"/><Relationship Type="http://schemas.openxmlformats.org/officeDocument/2006/relationships/hyperlink" Target="https://www.cars.com/shopping/results/?stock_type=used&amp;makes[]=volvo&amp;models[]=volvo-v90_cross_country&amp;maximum_distance=250&amp;zip=93720&amp;list_price_min=21500&amp;list_price_max=29500&amp;mileage_min=65000&amp;mileage_max=95000" TargetMode="External" Id="rId523"/><Relationship Type="http://schemas.openxmlformats.org/officeDocument/2006/relationships/hyperlink" Target="https://www.cars.com/shopping/results/?stock_type=used&amp;makes[]=volvo&amp;models[]=volvo-v90_cross_country&amp;maximum_distance=250&amp;zip=93720&amp;list_price_min=17500&amp;list_price_max=24000&amp;mileage_min=85000&amp;mileage_max=115000" TargetMode="External" Id="rId524"/><Relationship Type="http://schemas.openxmlformats.org/officeDocument/2006/relationships/hyperlink" Target="https://www.cars.com/shopping/results/?stock_type=used&amp;makes[]=volvo&amp;models[]=volvo-v90_cross_country&amp;maximum_distance=250&amp;zip=93720&amp;list_price_min=14500&amp;list_price_max=20000&amp;mileage_min=105000&amp;mileage_max=135000" TargetMode="External" Id="rId525"/><Relationship Type="http://schemas.openxmlformats.org/officeDocument/2006/relationships/hyperlink" Target="https://www.cars.com/shopping/results/?stock_type=used&amp;makes[]=volvo&amp;models[]=volvo-v90_cross_country&amp;maximum_distance=250&amp;zip=93720&amp;list_price_min=25000&amp;list_price_max=34000" TargetMode="External" Id="rId526"/><Relationship Type="http://schemas.openxmlformats.org/officeDocument/2006/relationships/hyperlink" Target="https://www.cars.com/shopping/results/?stock_type=used&amp;makes[]=chevrolet&amp;models[]=chevrolet-suburban&amp;maximum_distance=250&amp;zip=93720&amp;list_price_min=40500&amp;list_price_max=55000&amp;mileage_min=0&amp;mileage_max=25000" TargetMode="External" Id="rId527"/><Relationship Type="http://schemas.openxmlformats.org/officeDocument/2006/relationships/hyperlink" Target="https://www.cars.com/shopping/results/?stock_type=used&amp;makes[]=chevrolet&amp;models[]=chevrolet-suburban&amp;maximum_distance=250&amp;zip=93720&amp;list_price_min=40500&amp;list_price_max=55000&amp;mileage_min=5000&amp;mileage_max=35000" TargetMode="External" Id="rId528"/><Relationship Type="http://schemas.openxmlformats.org/officeDocument/2006/relationships/hyperlink" Target="https://www.cars.com/shopping/results/?stock_type=used&amp;makes[]=chevrolet&amp;models[]=chevrolet-suburban&amp;maximum_distance=250&amp;zip=93720&amp;list_price_min=38500&amp;list_price_max=52500&amp;mileage_min=25000&amp;mileage_max=55000" TargetMode="External" Id="rId529"/><Relationship Type="http://schemas.openxmlformats.org/officeDocument/2006/relationships/hyperlink" Target="https://www.cars.com/shopping/results/?stock_type=used&amp;makes[]=chevrolet&amp;models[]=chevrolet-suburban&amp;maximum_distance=250&amp;zip=93720&amp;list_price_min=35000&amp;list_price_max=47000&amp;mileage_min=45000&amp;mileage_max=75000" TargetMode="External" Id="rId530"/><Relationship Type="http://schemas.openxmlformats.org/officeDocument/2006/relationships/hyperlink" Target="https://www.cars.com/shopping/results/?stock_type=used&amp;makes[]=chevrolet&amp;models[]=chevrolet-suburban&amp;maximum_distance=250&amp;zip=93720&amp;list_price_min=31000&amp;list_price_max=42000&amp;mileage_min=65000&amp;mileage_max=95000" TargetMode="External" Id="rId531"/><Relationship Type="http://schemas.openxmlformats.org/officeDocument/2006/relationships/hyperlink" Target="https://www.cars.com/shopping/results/?stock_type=used&amp;makes[]=chevrolet&amp;models[]=chevrolet-suburban&amp;maximum_distance=250&amp;zip=93720&amp;list_price_min=27000&amp;list_price_max=37000&amp;mileage_min=85000&amp;mileage_max=115000" TargetMode="External" Id="rId532"/><Relationship Type="http://schemas.openxmlformats.org/officeDocument/2006/relationships/hyperlink" Target="https://www.cars.com/shopping/results/?stock_type=used&amp;makes[]=chevrolet&amp;models[]=chevrolet-suburban&amp;maximum_distance=250&amp;zip=93720&amp;list_price_min=24000&amp;list_price_max=32000&amp;mileage_min=105000&amp;mileage_max=135000" TargetMode="External" Id="rId533"/><Relationship Type="http://schemas.openxmlformats.org/officeDocument/2006/relationships/hyperlink" Target="https://www.cars.com/shopping/results/?stock_type=used&amp;makes[]=chevrolet&amp;models[]=chevrolet-suburban&amp;maximum_distance=250&amp;zip=93720&amp;list_price_min=36000&amp;list_price_max=48500" TargetMode="External" Id="rId534"/><Relationship Type="http://schemas.openxmlformats.org/officeDocument/2006/relationships/hyperlink" Target="https://www.cars.com/shopping/results/?stock_type=used&amp;makes[]=volvo&amp;models[]=volvo-xc90&amp;maximum_distance=250&amp;zip=93720&amp;list_price_min=40500&amp;list_price_max=55000&amp;mileage_min=0&amp;mileage_max=25000" TargetMode="External" Id="rId535"/><Relationship Type="http://schemas.openxmlformats.org/officeDocument/2006/relationships/hyperlink" Target="https://www.cars.com/shopping/results/?stock_type=used&amp;makes[]=volvo&amp;models[]=volvo-xc90&amp;maximum_distance=250&amp;zip=93720&amp;list_price_min=40500&amp;list_price_max=55000&amp;mileage_min=5000&amp;mileage_max=35000" TargetMode="External" Id="rId536"/><Relationship Type="http://schemas.openxmlformats.org/officeDocument/2006/relationships/hyperlink" Target="https://www.cars.com/shopping/results/?stock_type=used&amp;makes[]=volvo&amp;models[]=volvo-xc90&amp;maximum_distance=250&amp;zip=93720&amp;list_price_min=34000&amp;list_price_max=46000&amp;mileage_min=25000&amp;mileage_max=55000" TargetMode="External" Id="rId537"/><Relationship Type="http://schemas.openxmlformats.org/officeDocument/2006/relationships/hyperlink" Target="https://www.cars.com/shopping/results/?stock_type=used&amp;makes[]=volvo&amp;models[]=volvo-xc90&amp;maximum_distance=250&amp;zip=93720&amp;list_price_min=28000&amp;list_price_max=38000&amp;mileage_min=45000&amp;mileage_max=75000" TargetMode="External" Id="rId538"/><Relationship Type="http://schemas.openxmlformats.org/officeDocument/2006/relationships/hyperlink" Target="https://www.cars.com/shopping/results/?stock_type=used&amp;makes[]=volvo&amp;models[]=volvo-xc90&amp;maximum_distance=250&amp;zip=93720&amp;list_price_min=23000&amp;list_price_max=31000&amp;mileage_min=65000&amp;mileage_max=95000" TargetMode="External" Id="rId539"/><Relationship Type="http://schemas.openxmlformats.org/officeDocument/2006/relationships/hyperlink" Target="https://www.cars.com/shopping/results/?stock_type=used&amp;makes[]=volvo&amp;models[]=volvo-xc90&amp;maximum_distance=250&amp;zip=93720&amp;list_price_min=18500&amp;list_price_max=25000&amp;mileage_min=85000&amp;mileage_max=115000" TargetMode="External" Id="rId540"/><Relationship Type="http://schemas.openxmlformats.org/officeDocument/2006/relationships/hyperlink" Target="https://www.cars.com/shopping/results/?stock_type=used&amp;makes[]=volvo&amp;models[]=volvo-xc90&amp;maximum_distance=250&amp;zip=93720&amp;list_price_min=15000&amp;list_price_max=20500&amp;mileage_min=105000&amp;mileage_max=135000" TargetMode="External" Id="rId541"/><Relationship Type="http://schemas.openxmlformats.org/officeDocument/2006/relationships/hyperlink" Target="https://www.cars.com/shopping/results/?stock_type=used&amp;makes[]=volvo&amp;models[]=volvo-xc90&amp;maximum_distance=250&amp;zip=93720&amp;list_price_min=25500&amp;list_price_max=34500" TargetMode="External" Id="rId542"/></Relationships>
</file>

<file path=xl/worksheets/_rels/sheet3.xml.rels><Relationships xmlns="http://schemas.openxmlformats.org/package/2006/relationships"><Relationship Type="http://schemas.openxmlformats.org/officeDocument/2006/relationships/hyperlink" Target="https://www.cars.com/shopping/results/?stock_type=used&amp;makes[]=chevrolet&amp;models[]=chevrolet-bolt_ev&amp;maximum_distance=250&amp;zip=93720&amp;list_price_min=13000&amp;list_price_max=17500" TargetMode="External" Id="rId1"/><Relationship Type="http://schemas.openxmlformats.org/officeDocument/2006/relationships/hyperlink" Target="https://www.cars.com/shopping/results/?stock_type=used&amp;makes[]=chevrolet&amp;models[]=chevrolet-volt&amp;maximum_distance=250&amp;zip=93720&amp;list_price_min=12500&amp;list_price_max=17000" TargetMode="External" Id="rId2"/><Relationship Type="http://schemas.openxmlformats.org/officeDocument/2006/relationships/hyperlink" Target="https://www.cars.com/shopping/results/?stock_type=used&amp;makes[]=toyota&amp;models[]=toyota-prius&amp;maximum_distance=250&amp;zip=93720&amp;list_price_min=22000&amp;list_price_max=29500" TargetMode="External" Id="rId3"/><Relationship Type="http://schemas.openxmlformats.org/officeDocument/2006/relationships/hyperlink" Target="https://www.cars.com/shopping/results/?stock_type=used&amp;makes[]=toyota&amp;models[]=toyota-prius_prime&amp;maximum_distance=250&amp;zip=93720&amp;list_price_min=12500&amp;list_price_max=17000" TargetMode="External" Id="rId4"/><Relationship Type="http://schemas.openxmlformats.org/officeDocument/2006/relationships/hyperlink" Target="https://www.cars.com/shopping/results/?stock_type=used&amp;makes[]=toyota&amp;models[]=toyota-corolla&amp;maximum_distance=250&amp;zip=93720&amp;list_price_min=15000&amp;list_price_max=20000" TargetMode="External" Id="rId5"/><Relationship Type="http://schemas.openxmlformats.org/officeDocument/2006/relationships/hyperlink" Target="https://www.cars.com/shopping/results/?stock_type=used&amp;makes[]=toyota&amp;models[]=toyota-camry_hybrid&amp;maximum_distance=250&amp;zip=93720&amp;list_price_min=14000&amp;list_price_max=18500" TargetMode="External" Id="rId6"/><Relationship Type="http://schemas.openxmlformats.org/officeDocument/2006/relationships/hyperlink" Target="https://www.cars.com/shopping/results/?stock_type=used&amp;makes[]=honda&amp;models[]=honda-civic&amp;maximum_distance=250&amp;zip=93720&amp;list_price_min=20000&amp;list_price_max=27000" TargetMode="External" Id="rId7"/><Relationship Type="http://schemas.openxmlformats.org/officeDocument/2006/relationships/hyperlink" Target="https://www.cars.com/shopping/results/?stock_type=used&amp;makes[]=nissan&amp;models[]=nissan-leaf&amp;maximum_distance=250&amp;zip=93720&amp;list_price_min=9500&amp;list_price_max=13000" TargetMode="External" Id="rId8"/><Relationship Type="http://schemas.openxmlformats.org/officeDocument/2006/relationships/hyperlink" Target="https://www.cars.com/shopping/results/?stock_type=used&amp;makes[]=hyundai&amp;models[]=hyundai-elantra&amp;maximum_distance=250&amp;zip=93720&amp;list_price_min=13500&amp;list_price_max=18000" TargetMode="External" Id="rId9"/><Relationship Type="http://schemas.openxmlformats.org/officeDocument/2006/relationships/hyperlink" Target="https://www.cars.com/shopping/results/?stock_type=used&amp;makes[]=honda&amp;models[]=honda-accord&amp;maximum_distance=250&amp;zip=93720&amp;list_price_min=13500&amp;list_price_max=18500" TargetMode="External" Id="rId10"/><Relationship Type="http://schemas.openxmlformats.org/officeDocument/2006/relationships/hyperlink" Target="https://www.cars.com/shopping/results/?stock_type=used&amp;makes[]=kia&amp;models[]=kia-k4&amp;maximum_distance=250&amp;zip=93720&amp;list_price_min=17000&amp;list_price_max=23000" TargetMode="External" Id="rId11"/><Relationship Type="http://schemas.openxmlformats.org/officeDocument/2006/relationships/hyperlink" Target="https://www.cars.com/shopping/results/?stock_type=used&amp;makes[]=mazda&amp;models[]=mazda-mazda3&amp;maximum_distance=250&amp;zip=93720&amp;list_price_min=12500&amp;list_price_max=17000" TargetMode="External" Id="rId12"/><Relationship Type="http://schemas.openxmlformats.org/officeDocument/2006/relationships/hyperlink" Target="https://www.cars.com/shopping/results/?stock_type=used&amp;makes[]=toyota&amp;models[]=toyota-camry&amp;maximum_distance=250&amp;zip=93720&amp;list_price_min=19000&amp;list_price_max=25500" TargetMode="External" Id="rId13"/><Relationship Type="http://schemas.openxmlformats.org/officeDocument/2006/relationships/hyperlink" Target="https://www.cars.com/shopping/results/?stock_type=used&amp;makes[]=toyota&amp;models[]=toyota-rav4_hybrid&amp;maximum_distance=250&amp;zip=93720&amp;list_price_min=25500&amp;list_price_max=35000" TargetMode="External" Id="rId14"/><Relationship Type="http://schemas.openxmlformats.org/officeDocument/2006/relationships/hyperlink" Target="https://www.cars.com/shopping/results/?stock_type=used&amp;makes[]=kia&amp;models[]=kia-niro&amp;maximum_distance=250&amp;zip=93720&amp;list_price_min=14000&amp;list_price_max=19500" TargetMode="External" Id="rId15"/><Relationship Type="http://schemas.openxmlformats.org/officeDocument/2006/relationships/hyperlink" Target="https://www.cars.com/shopping/results/?stock_type=used&amp;makes[]=tesla&amp;models[]=tesla-model_3&amp;maximum_distance=250&amp;zip=93720&amp;list_price_min=18000&amp;list_price_max=24500" TargetMode="External" Id="rId16"/><Relationship Type="http://schemas.openxmlformats.org/officeDocument/2006/relationships/hyperlink" Target="https://www.cars.com/shopping/results/?stock_type=used&amp;makes[]=hyundai&amp;models[]=hyundai-sonata&amp;maximum_distance=250&amp;zip=93720&amp;list_price_min=13000&amp;list_price_max=17500" TargetMode="External" Id="rId17"/><Relationship Type="http://schemas.openxmlformats.org/officeDocument/2006/relationships/hyperlink" Target="https://www.cars.com/shopping/results/?stock_type=used&amp;makes[]=toyota&amp;models[]=toyota-rav4&amp;maximum_distance=250&amp;zip=93720&amp;list_price_min=17500&amp;list_price_max=23500" TargetMode="External" Id="rId18"/><Relationship Type="http://schemas.openxmlformats.org/officeDocument/2006/relationships/hyperlink" Target="https://www.cars.com/shopping/results/?stock_type=used&amp;makes[]=fiat&amp;models[]=fiat-500&amp;maximum_distance=250&amp;zip=93720&amp;list_price_min=8500&amp;list_price_max=11500" TargetMode="External" Id="rId19"/><Relationship Type="http://schemas.openxmlformats.org/officeDocument/2006/relationships/hyperlink" Target="https://www.cars.com/shopping/results/?stock_type=used&amp;makes[]=honda&amp;models[]=honda-cr_v&amp;maximum_distance=250&amp;zip=93720&amp;list_price_min=17000&amp;list_price_max=23500" TargetMode="External" Id="rId20"/><Relationship Type="http://schemas.openxmlformats.org/officeDocument/2006/relationships/hyperlink" Target="https://www.cars.com/shopping/results/?stock_type=used&amp;makes[]=volkswagen&amp;models[]=volkswagen-id4&amp;maximum_distance=250&amp;zip=93720&amp;list_price_min=19000&amp;list_price_max=25500" TargetMode="External" Id="rId21"/><Relationship Type="http://schemas.openxmlformats.org/officeDocument/2006/relationships/hyperlink" Target="https://www.cars.com/shopping/results/?stock_type=used&amp;makes[]=toyota&amp;models[]=toyota-rav4_prime&amp;maximum_distance=250&amp;zip=93720&amp;list_price_min=29500&amp;list_price_max=40000" TargetMode="External" Id="rId22"/><Relationship Type="http://schemas.openxmlformats.org/officeDocument/2006/relationships/hyperlink" Target="https://www.cars.com/shopping/results/?stock_type=used&amp;makes[]=kia&amp;models[]=kia-soul&amp;maximum_distance=250&amp;zip=93720&amp;list_price_min=12000&amp;list_price_max=16500" TargetMode="External" Id="rId23"/><Relationship Type="http://schemas.openxmlformats.org/officeDocument/2006/relationships/hyperlink" Target="https://www.cars.com/shopping/results/?stock_type=used&amp;makes[]=volkswagen&amp;models[]=volkswagen-passat&amp;maximum_distance=250&amp;zip=93720&amp;list_price_min=12000&amp;list_price_max=16000" TargetMode="External" Id="rId24"/><Relationship Type="http://schemas.openxmlformats.org/officeDocument/2006/relationships/hyperlink" Target="https://www.cars.com/shopping/results/?stock_type=used&amp;makes[]=buick&amp;models[]=buick-encore&amp;maximum_distance=250&amp;zip=93720&amp;list_price_min=12500&amp;list_price_max=17000" TargetMode="External" Id="rId25"/><Relationship Type="http://schemas.openxmlformats.org/officeDocument/2006/relationships/hyperlink" Target="https://www.cars.com/shopping/results/?stock_type=used&amp;makes[]=hyundai&amp;models[]=hyundai-kona&amp;maximum_distance=250&amp;zip=93720&amp;list_price_min=12500&amp;list_price_max=17000" TargetMode="External" Id="rId26"/><Relationship Type="http://schemas.openxmlformats.org/officeDocument/2006/relationships/hyperlink" Target="https://www.cars.com/shopping/results/?stock_type=used&amp;makes[]=mazda&amp;models[]=mazda-cx_5&amp;maximum_distance=250&amp;zip=93720&amp;list_price_min=17500&amp;list_price_max=23500" TargetMode="External" Id="rId27"/><Relationship Type="http://schemas.openxmlformats.org/officeDocument/2006/relationships/hyperlink" Target="https://www.cars.com/shopping/results/?stock_type=used&amp;makes[]=toyota&amp;models[]=toyota-highlander_hybrid&amp;maximum_distance=250&amp;zip=93720&amp;list_price_min=27000&amp;list_price_max=36500" TargetMode="External" Id="rId28"/><Relationship Type="http://schemas.openxmlformats.org/officeDocument/2006/relationships/hyperlink" Target="https://www.cars.com/shopping/results/?stock_type=used&amp;makes[]=subaru&amp;models[]=subaru-outback&amp;maximum_distance=250&amp;zip=93720&amp;list_price_min=15500&amp;list_price_max=21500" TargetMode="External" Id="rId29"/><Relationship Type="http://schemas.openxmlformats.org/officeDocument/2006/relationships/hyperlink" Target="https://www.cars.com/shopping/results/?stock_type=used&amp;makes[]=subaru&amp;models[]=subaru-forester&amp;maximum_distance=250&amp;zip=93720&amp;list_price_min=18500&amp;list_price_max=25500" TargetMode="External" Id="rId30"/><Relationship Type="http://schemas.openxmlformats.org/officeDocument/2006/relationships/hyperlink" Target="https://www.cars.com/shopping/results/?stock_type=used&amp;makes[]=toyota&amp;models[]=toyota-sienna&amp;maximum_distance=250&amp;zip=93720&amp;list_price_min=29500&amp;list_price_max=40000&amp;year_min=2021" TargetMode="External" Id="rId31"/><Relationship Type="http://schemas.openxmlformats.org/officeDocument/2006/relationships/hyperlink" Target="https://www.cars.com/shopping/results/?stock_type=used&amp;makes[]=toyota&amp;models[]=toyota-tacoma&amp;maximum_distance=250&amp;zip=93720&amp;list_price_min=24500&amp;list_price_max=33500" TargetMode="External" Id="rId32"/><Relationship Type="http://schemas.openxmlformats.org/officeDocument/2006/relationships/hyperlink" Target="https://www.cars.com/shopping/results/?stock_type=used&amp;makes[]=nissan&amp;models[]=nissan-rogue&amp;maximum_distance=250&amp;zip=93720&amp;list_price_min=15500&amp;list_price_max=21500" TargetMode="External" Id="rId33"/><Relationship Type="http://schemas.openxmlformats.org/officeDocument/2006/relationships/hyperlink" Target="https://www.cars.com/shopping/results/?stock_type=used&amp;makes[]=chevrolet&amp;models[]=chevrolet-equinox&amp;maximum_distance=250&amp;zip=93720&amp;list_price_min=14500&amp;list_price_max=19500" TargetMode="External" Id="rId34"/><Relationship Type="http://schemas.openxmlformats.org/officeDocument/2006/relationships/hyperlink" Target="https://www.cars.com/shopping/results/?stock_type=used&amp;makes[]=toyota&amp;models[]=toyota-sienna&amp;maximum_distance=250&amp;zip=93720&amp;list_price_min=18500&amp;list_price_max=25500&amp;year_max=2020" TargetMode="External" Id="rId35"/><Relationship Type="http://schemas.openxmlformats.org/officeDocument/2006/relationships/hyperlink" Target="https://www.cars.com/shopping/results/?stock_type=used&amp;makes[]=mini&amp;models[]=mini-hardtop&amp;maximum_distance=250&amp;zip=93720&amp;list_price_min=15000&amp;list_price_max=20500" TargetMode="External" Id="rId36"/><Relationship Type="http://schemas.openxmlformats.org/officeDocument/2006/relationships/hyperlink" Target="https://www.cars.com/shopping/results/?stock_type=used&amp;makes[]=ford&amp;models[]=ford-ranger&amp;maximum_distance=250&amp;zip=93720&amp;list_price_min=9500&amp;list_price_max=13000&amp;year_max=2011" TargetMode="External" Id="rId37"/><Relationship Type="http://schemas.openxmlformats.org/officeDocument/2006/relationships/hyperlink" Target="https://www.cars.com/shopping/results/?stock_type=used&amp;makes[]=fiat&amp;models[]=fiat-500x&amp;maximum_distance=250&amp;zip=93720&amp;list_price_min=12500&amp;list_price_max=17000" TargetMode="External" Id="rId38"/><Relationship Type="http://schemas.openxmlformats.org/officeDocument/2006/relationships/hyperlink" Target="https://www.cars.com/shopping/results/?stock_type=used&amp;makes[]=volkswagen&amp;models[]=volkswagen-golf_gti&amp;maximum_distance=250&amp;zip=93720&amp;list_price_min=16000&amp;list_price_max=21500" TargetMode="External" Id="rId39"/><Relationship Type="http://schemas.openxmlformats.org/officeDocument/2006/relationships/hyperlink" Target="https://www.cars.com/shopping/results/?stock_type=used&amp;makes[]=kia&amp;models[]=kia-sportage&amp;maximum_distance=250&amp;zip=93720&amp;list_price_min=13000&amp;list_price_max=18000" TargetMode="External" Id="rId40"/><Relationship Type="http://schemas.openxmlformats.org/officeDocument/2006/relationships/hyperlink" Target="https://www.cars.com/shopping/results/?stock_type=used&amp;makes[]=ford&amp;models[]=ford-escape&amp;maximum_distance=250&amp;zip=93720&amp;list_price_min=12500&amp;list_price_max=17000" TargetMode="External" Id="rId41"/><Relationship Type="http://schemas.openxmlformats.org/officeDocument/2006/relationships/hyperlink" Target="https://www.cars.com/shopping/results/?stock_type=used&amp;makes[]=toyota&amp;models[]=toyota-highlander&amp;maximum_distance=250&amp;zip=93720&amp;list_price_min=21000&amp;list_price_max=28500" TargetMode="External" Id="rId42"/><Relationship Type="http://schemas.openxmlformats.org/officeDocument/2006/relationships/hyperlink" Target="https://www.cars.com/shopping/results/?stock_type=used&amp;makes[]=hyundai&amp;models[]=hyundai-tucson&amp;maximum_distance=250&amp;zip=93720&amp;list_price_min=16500&amp;list_price_max=22000" TargetMode="External" Id="rId43"/><Relationship Type="http://schemas.openxmlformats.org/officeDocument/2006/relationships/hyperlink" Target="https://www.cars.com/shopping/results/?stock_type=used&amp;makes[]=toyota&amp;models[]=toyota-4runner&amp;maximum_distance=250&amp;zip=93720&amp;list_price_min=30500&amp;list_price_max=41500" TargetMode="External" Id="rId44"/><Relationship Type="http://schemas.openxmlformats.org/officeDocument/2006/relationships/hyperlink" Target="https://www.cars.com/shopping/results/?stock_type=used&amp;makes[]=honda&amp;models[]=honda-odyssey&amp;maximum_distance=250&amp;zip=93720&amp;list_price_min=17000&amp;list_price_max=23000" TargetMode="External" Id="rId45"/><Relationship Type="http://schemas.openxmlformats.org/officeDocument/2006/relationships/hyperlink" Target="https://www.cars.com/shopping/results/?stock_type=used&amp;makes[]=kia&amp;models[]=kia-sorento&amp;maximum_distance=250&amp;zip=93720&amp;list_price_min=15500&amp;list_price_max=21000" TargetMode="External" Id="rId46"/><Relationship Type="http://schemas.openxmlformats.org/officeDocument/2006/relationships/hyperlink" Target="https://www.cars.com/shopping/results/?stock_type=used&amp;makes[]=hyundai&amp;models[]=hyundai-santa_fe&amp;maximum_distance=250&amp;zip=93720&amp;list_price_min=14000&amp;list_price_max=19000" TargetMode="External" Id="rId47"/><Relationship Type="http://schemas.openxmlformats.org/officeDocument/2006/relationships/hyperlink" Target="https://www.cars.com/shopping/results/?stock_type=used&amp;makes[]=volkswagen&amp;models[]=volkswagen-tiguan&amp;maximum_distance=250&amp;zip=93720&amp;list_price_min=14000&amp;list_price_max=19000" TargetMode="External" Id="rId48"/><Relationship Type="http://schemas.openxmlformats.org/officeDocument/2006/relationships/hyperlink" Target="https://www.cars.com/shopping/results/?stock_type=used&amp;makes[]=chrysler&amp;models[]=chrysler-pacifica_hybrid&amp;maximum_distance=250&amp;zip=93720&amp;list_price_min=18500&amp;list_price_max=25000" TargetMode="External" Id="rId49"/><Relationship Type="http://schemas.openxmlformats.org/officeDocument/2006/relationships/hyperlink" Target="https://www.cars.com/shopping/results/?stock_type=used&amp;makes[]=subaru&amp;models[]=subaru-ascent&amp;maximum_distance=250&amp;zip=93720&amp;list_price_min=19500&amp;list_price_max=26500" TargetMode="External" Id="rId50"/><Relationship Type="http://schemas.openxmlformats.org/officeDocument/2006/relationships/hyperlink" Target="https://www.cars.com/shopping/results/?stock_type=used&amp;makes[]=ford&amp;models[]=ford-ranger&amp;maximum_distance=250&amp;zip=93720&amp;list_price_min=19500&amp;list_price_max=26000&amp;year_min=2019" TargetMode="External" Id="rId51"/><Relationship Type="http://schemas.openxmlformats.org/officeDocument/2006/relationships/hyperlink" Target="https://www.cars.com/shopping/results/?stock_type=used&amp;makes[]=honda&amp;models[]=honda-pilot&amp;maximum_distance=250&amp;zip=93720&amp;list_price_min=19000&amp;list_price_max=25500" TargetMode="External" Id="rId52"/><Relationship Type="http://schemas.openxmlformats.org/officeDocument/2006/relationships/hyperlink" Target="https://www.cars.com/shopping/results/?stock_type=used&amp;makes[]=mini&amp;models[]=mini-countryman&amp;maximum_distance=250&amp;zip=93720&amp;list_price_min=16000&amp;list_price_max=21500" TargetMode="External" Id="rId53"/><Relationship Type="http://schemas.openxmlformats.org/officeDocument/2006/relationships/hyperlink" Target="https://www.cars.com/shopping/results/?stock_type=used&amp;makes[]=toyota&amp;models[]=toyota-sequoia&amp;maximum_distance=250&amp;zip=93720&amp;list_price_min=27000&amp;list_price_max=37000" TargetMode="External" Id="rId54"/><Relationship Type="http://schemas.openxmlformats.org/officeDocument/2006/relationships/hyperlink" Target="https://www.cars.com/shopping/results/?stock_type=used&amp;makes[]=hyundai&amp;models[]=hyundai-palisade&amp;maximum_distance=250&amp;zip=93720&amp;list_price_min=26000&amp;list_price_max=35500" TargetMode="External" Id="rId55"/><Relationship Type="http://schemas.openxmlformats.org/officeDocument/2006/relationships/hyperlink" Target="https://www.cars.com/shopping/results/?stock_type=used&amp;makes[]=chrysler&amp;models[]=chrysler-pacifica&amp;maximum_distance=250&amp;zip=93720&amp;list_price_min=13500&amp;list_price_max=18500" TargetMode="External" Id="rId56"/><Relationship Type="http://schemas.openxmlformats.org/officeDocument/2006/relationships/hyperlink" Target="https://www.cars.com/shopping/results/?stock_type=used&amp;makes[]=chevrolet&amp;models[]=chevrolet-colorado&amp;maximum_distance=250&amp;zip=93720&amp;list_price_min=19500&amp;list_price_max=27000" TargetMode="External" Id="rId57"/><Relationship Type="http://schemas.openxmlformats.org/officeDocument/2006/relationships/hyperlink" Target="https://www.cars.com/shopping/results/?stock_type=used&amp;makes[]=kia&amp;models[]=kia-telluride&amp;maximum_distance=250&amp;zip=93720&amp;list_price_min=28000&amp;list_price_max=37500" TargetMode="External" Id="rId58"/><Relationship Type="http://schemas.openxmlformats.org/officeDocument/2006/relationships/hyperlink" Target="https://www.cars.com/shopping/results/?stock_type=used&amp;makes[]=mazda&amp;models[]=mazda-cx_90&amp;maximum_distance=250&amp;zip=93720&amp;list_price_min=32500&amp;list_price_max=44500" TargetMode="External" Id="rId59"/><Relationship Type="http://schemas.openxmlformats.org/officeDocument/2006/relationships/hyperlink" Target="https://www.cars.com/shopping/results/?stock_type=used&amp;makes[]=chevrolet&amp;models[]=chevrolet-traverse&amp;maximum_distance=250&amp;zip=93720&amp;list_price_min=17000&amp;list_price_max=23000" TargetMode="External" Id="rId60"/><Relationship Type="http://schemas.openxmlformats.org/officeDocument/2006/relationships/hyperlink" Target="https://www.cars.com/shopping/results/?stock_type=used&amp;makes[]=volkswagen&amp;models[]=volkswagen-atlas&amp;maximum_distance=250&amp;zip=93720&amp;list_price_min=17500&amp;list_price_max=24000" TargetMode="External" Id="rId61"/><Relationship Type="http://schemas.openxmlformats.org/officeDocument/2006/relationships/hyperlink" Target="https://www.cars.com/shopping/results/?stock_type=used&amp;makes[]=ford&amp;models[]=ford-explorer&amp;maximum_distance=250&amp;zip=93720&amp;list_price_min=17500&amp;list_price_max=24000" TargetMode="External" Id="rId62"/><Relationship Type="http://schemas.openxmlformats.org/officeDocument/2006/relationships/hyperlink" Target="https://www.cars.com/shopping/results/?stock_type=used&amp;makes[]=buick&amp;models[]=buick-enclave&amp;maximum_distance=250&amp;zip=93720&amp;list_price_min=14000&amp;list_price_max=19000" TargetMode="External" Id="rId63"/><Relationship Type="http://schemas.openxmlformats.org/officeDocument/2006/relationships/hyperlink" Target="https://www.cars.com/shopping/results/?stock_type=used&amp;makes[]=volvo&amp;models[]=volvo-xc60&amp;maximum_distance=250&amp;zip=93720&amp;list_price_min=21000&amp;list_price_max=28500" TargetMode="External" Id="rId64"/><Relationship Type="http://schemas.openxmlformats.org/officeDocument/2006/relationships/hyperlink" Target="https://www.cars.com/shopping/results/?stock_type=used&amp;makes[]=chevrolet&amp;models[]=chevrolet-tahoe&amp;maximum_distance=250&amp;zip=93720&amp;list_price_min=33000&amp;list_price_max=45000" TargetMode="External" Id="rId65"/><Relationship Type="http://schemas.openxmlformats.org/officeDocument/2006/relationships/hyperlink" Target="https://www.cars.com/shopping/results/?stock_type=used&amp;makes[]=jeep&amp;models[]=jeep-grand_cherokee_l&amp;maximum_distance=250&amp;zip=93720&amp;list_price_min=24000&amp;list_price_max=32500" TargetMode="External" Id="rId66"/><Relationship Type="http://schemas.openxmlformats.org/officeDocument/2006/relationships/hyperlink" Target="https://www.cars.com/shopping/results/?stock_type=used&amp;makes[]=volvo&amp;models[]=volvo-v90_cross_country&amp;maximum_distance=250&amp;zip=93720&amp;list_price_min=25000&amp;list_price_max=34000" TargetMode="External" Id="rId67"/><Relationship Type="http://schemas.openxmlformats.org/officeDocument/2006/relationships/hyperlink" Target="https://www.cars.com/shopping/results/?stock_type=used&amp;makes[]=chevrolet&amp;models[]=chevrolet-suburban&amp;maximum_distance=250&amp;zip=93720&amp;list_price_min=36000&amp;list_price_max=48500" TargetMode="External" Id="rId68"/><Relationship Type="http://schemas.openxmlformats.org/officeDocument/2006/relationships/hyperlink" Target="https://www.cars.com/shopping/results/?stock_type=used&amp;makes[]=volvo&amp;models[]=volvo-xc90&amp;maximum_distance=250&amp;zip=93720&amp;list_price_min=25500&amp;list_price_max=34500" TargetMode="External" Id="rId69"/><Relationship Type="http://schemas.openxmlformats.org/officeDocument/2006/relationships/hyperlink" Target="https://www.cars.com/shopping/results/?stock_type=used&amp;makes[]=porsche&amp;models[]=porsche-911&amp;maximum_distance=250&amp;zip=93720&amp;list_price_min=33000&amp;list_price_max=44500&amp;year_min=1999&amp;year_max=2004" TargetMode="External" Id="rId70"/><Relationship Type="http://schemas.openxmlformats.org/officeDocument/2006/relationships/hyperlink" Target="https://www.cars.com/shopping/results/?stock_type=used&amp;makes[]=porsche&amp;models[]=porsche-911&amp;maximum_distance=250&amp;zip=93720&amp;list_price_min=51000&amp;list_price_max=69000&amp;year_min=2001&amp;year_max=2005" TargetMode="External" Id="rId7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H33"/>
  <sheetViews>
    <sheetView showGridLines="0" workbookViewId="0">
      <selection activeCell="A1" sqref="A1"/>
    </sheetView>
  </sheetViews>
  <sheetFormatPr baseColWidth="8" defaultRowHeight="15"/>
  <cols>
    <col width="2"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2">
      <c r="B2" s="1" t="inlineStr">
        <is>
          <t>TRUE COST OF OWNERSHIP — how this workbook is built, in four layers</t>
        </is>
      </c>
    </row>
    <row r="4">
      <c r="B4" s="2" t="inlineStr">
        <is>
          <t>The goal: the true lifetime cost of owning each car, in cost-per-mile, driven to end-of-life. Everything is discounted at 7% real — the S&amp;P 500 long-run return — so the money you sink into a car is charged its market opportunity cost. Costs come from a Monte-Carlo simulation (N=1,100 runs per car), so every number carries a measured uncertainty and the rankings come with a statistical-significance test.</t>
        </is>
      </c>
    </row>
    <row r="5"/>
    <row r="6"/>
    <row r="8">
      <c r="B8" s="3" t="inlineStr">
        <is>
          <t>LAYER 1 — SURVEY</t>
        </is>
      </c>
    </row>
    <row r="9">
      <c r="B9" s="4" t="inlineStr">
        <is>
          <t>→ tab(s): Sweet-spot heat map</t>
        </is>
      </c>
    </row>
    <row r="10">
      <c r="B10" s="2" t="inlineStr">
        <is>
          <t>A wide survey of EVERY model×year×odometer combination inside a broad filter. For each vehicle it maps $/mile across the whole odometer range and finds the cost-optimal buy point. This is the raw field the rankings are drawn from.</t>
        </is>
      </c>
    </row>
    <row r="11"/>
    <row r="13">
      <c r="B13" s="3" t="inlineStr">
        <is>
          <t>LAYER 2 — RANKINGS</t>
        </is>
      </c>
    </row>
    <row r="14">
      <c r="B14" s="4" t="inlineStr">
        <is>
          <t>→ tab(s): Ranking (hardened)</t>
        </is>
      </c>
    </row>
    <row r="15">
      <c r="B15" s="2" t="inlineStr">
        <is>
          <t>The best buy of each model pulled from the survey, ranked by median $/mile. Now with STATISTICAL TIE TIERS (cars you cannot tell apart), a 90% outcome band, the probability each car beats the next, and the market opportunity cost of the cash tied up.</t>
        </is>
      </c>
    </row>
    <row r="16"/>
    <row r="18">
      <c r="B18" s="3" t="inlineStr">
        <is>
          <t>LAYER 3 — DEAL ANALYZER</t>
        </is>
      </c>
    </row>
    <row r="19">
      <c r="B19" s="4" t="inlineStr">
        <is>
          <t>→ tab(s): Any-Car Calculator</t>
        </is>
      </c>
    </row>
    <row r="20">
      <c r="B20" s="2" t="inlineStr">
        <is>
          <t>Found a real listing? Type in its year, odometer and asking price (or pick from the dropdown) and it drops that exact car onto the ranked table — so you can see whether a specific deal beats the idealised picks above.</t>
        </is>
      </c>
    </row>
    <row r="21"/>
    <row r="23">
      <c r="B23" s="3" t="inlineStr">
        <is>
          <t>LAYER 4 — ANALYSIS SUITE</t>
        </is>
      </c>
    </row>
    <row r="24">
      <c r="B24" s="4" t="inlineStr">
        <is>
          <t>→ tab(s): Plot / Charts / Beyond $ per mile / Year Reliability / Scenarios by state</t>
        </is>
      </c>
    </row>
    <row r="25">
      <c r="B25" s="2" t="inlineStr">
        <is>
          <t>The tools to understand WHY: an interactive scatter (Plot), 8 diagnostic charts incl. cost breakdown, payback, risk spread, mileage/gas/discount-rate sensitivity (Charts), capability &amp; CO2 (Beyond), model-years to avoid (Year Reliability), and other states (Scenarios).</t>
        </is>
      </c>
    </row>
    <row r="26"/>
    <row r="28">
      <c r="B28" s="3" t="inlineStr">
        <is>
          <t>REFERENCE</t>
        </is>
      </c>
    </row>
    <row r="29">
      <c r="B29" s="4" t="inlineStr">
        <is>
          <t>→ tab(s): Model &amp; Method / Assumptions / Lists</t>
        </is>
      </c>
    </row>
    <row r="30">
      <c r="B30" s="2" t="inlineStr">
        <is>
          <t>Full method walkthrough, the complete explicit+implicit assumption ledger with every revision logged, and the dropdown source data.</t>
        </is>
      </c>
    </row>
    <row r="31"/>
    <row r="33">
      <c r="B33" s="5" t="inlineStr">
        <is>
          <t>Your basis: 13,000 mi/yr · USAA active-duty insurance · Florida registration · Fresno CA garaging · gas $5.455 / elec $0.32. Edit the yellow cells anywhere to re-run for different assumptions.</t>
        </is>
      </c>
    </row>
  </sheetData>
  <mergeCells count="18">
    <mergeCell ref="B8:H8"/>
    <mergeCell ref="B14:H14"/>
    <mergeCell ref="B28:H28"/>
    <mergeCell ref="B25:H26"/>
    <mergeCell ref="B23:H23"/>
    <mergeCell ref="B9:H9"/>
    <mergeCell ref="B13:H13"/>
    <mergeCell ref="B18:H18"/>
    <mergeCell ref="B30:H31"/>
    <mergeCell ref="B4:H6"/>
    <mergeCell ref="B24:H24"/>
    <mergeCell ref="B2:H2"/>
    <mergeCell ref="B29:H29"/>
    <mergeCell ref="B33:H33"/>
    <mergeCell ref="B10:H11"/>
    <mergeCell ref="B19:H19"/>
    <mergeCell ref="B20:H21"/>
    <mergeCell ref="B15:H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cols>
    <col width="2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13" customWidth="1" min="11" max="11"/>
    <col width="18" customWidth="1" min="12" max="12"/>
    <col width="15" customWidth="1" min="13" max="13"/>
    <col width="6" customWidth="1" min="14" max="14"/>
    <col width="15" customWidth="1" min="15" max="15"/>
    <col width="18" customWidth="1" min="16" max="16"/>
  </cols>
  <sheetData>
    <row r="1">
      <c r="A1" s="6" t="inlineStr">
        <is>
          <t>SWEET-SPOT HEAT MAP — median $/mile vs PURCHASE ODOMETER (California prices). Each column shows both the odometer AND the ≈ model year it implies at 13k mi/yr. Green = cheaper. Grey ▒ = infeasible (too few miles left before end-of-life, or that odometer would imply a year before the model existed). ★ = each vehicle's cheapest column; ◆ = pinned buy. LIVE: every cell is a formula tied to that car's editable Purchase $ on the Ranking tab — fix a price there and this whole row re-scales and re-colors. Every $/mile cell also links to a cars.com search at that odometer/price band so you can verify the price behind it.</t>
        </is>
      </c>
    </row>
    <row r="3" ht="20" customHeight="1">
      <c r="A3" s="7" t="inlineStr">
        <is>
          <t>Vehicle</t>
        </is>
      </c>
      <c r="B3" s="7" t="inlineStr">
        <is>
          <t>10k mi</t>
        </is>
      </c>
      <c r="C3" s="7" t="inlineStr">
        <is>
          <t>20k mi</t>
        </is>
      </c>
      <c r="D3" s="7" t="inlineStr">
        <is>
          <t>40k mi</t>
        </is>
      </c>
      <c r="E3" s="7" t="inlineStr">
        <is>
          <t>60k mi</t>
        </is>
      </c>
      <c r="F3" s="7" t="inlineStr">
        <is>
          <t>80k mi</t>
        </is>
      </c>
      <c r="G3" s="7" t="inlineStr">
        <is>
          <t>100k mi</t>
        </is>
      </c>
      <c r="H3" s="7" t="inlineStr">
        <is>
          <t>120k mi</t>
        </is>
      </c>
      <c r="I3" s="7" t="inlineStr">
        <is>
          <t>150k mi</t>
        </is>
      </c>
      <c r="J3" s="7" t="inlineStr">
        <is>
          <t>180k mi</t>
        </is>
      </c>
      <c r="K3" s="7" t="inlineStr">
        <is>
          <t>Lowest $/mi
(newest)</t>
        </is>
      </c>
      <c r="L3" s="7" t="inlineStr">
        <is>
          <t>Buy pick ◆
(least cash)</t>
        </is>
      </c>
      <c r="M3" s="7" t="inlineStr">
        <is>
          <t>Pinned $/mi (live)</t>
        </is>
      </c>
      <c r="N3" s="7" t="inlineStr">
        <is>
          <t>Stat.
tier</t>
        </is>
      </c>
      <c r="O3" s="7" t="inlineStr">
        <is>
          <t>90% band $/mi
(at pinned buy)</t>
        </is>
      </c>
      <c r="P3" s="7" t="inlineStr">
        <is>
          <t>Capital opp cost $/mi
newest → oldest</t>
        </is>
      </c>
    </row>
    <row r="4" ht="28" customHeight="1">
      <c r="A4" s="7" t="inlineStr">
        <is>
          <t>(cells link to cars.com; values live off Ranking price)</t>
        </is>
      </c>
      <c r="B4" s="7" t="inlineStr">
        <is>
          <t>≈ 2025</t>
        </is>
      </c>
      <c r="C4" s="7" t="inlineStr">
        <is>
          <t>≈ 2024</t>
        </is>
      </c>
      <c r="D4" s="7" t="inlineStr">
        <is>
          <t>≈ 2023</t>
        </is>
      </c>
      <c r="E4" s="7" t="inlineStr">
        <is>
          <t>≈ 2021</t>
        </is>
      </c>
      <c r="F4" s="7" t="inlineStr">
        <is>
          <t>≈ 2020</t>
        </is>
      </c>
      <c r="G4" s="7" t="inlineStr">
        <is>
          <t>≈ 2018</t>
        </is>
      </c>
      <c r="H4" s="7" t="inlineStr">
        <is>
          <t>≈ 2017</t>
        </is>
      </c>
      <c r="I4" s="7" t="inlineStr">
        <is>
          <t>≈ 2014</t>
        </is>
      </c>
      <c r="J4" s="7" t="inlineStr">
        <is>
          <t>≈ 2012</t>
        </is>
      </c>
      <c r="K4" s="7" t="inlineStr">
        <is>
          <t>↓ cheapest per-mile</t>
        </is>
      </c>
      <c r="L4" s="7" t="inlineStr">
        <is>
          <t>◆ least $ up-front · = Ranking</t>
        </is>
      </c>
      <c r="M4" s="7" t="inlineStr">
        <is>
          <t>(updates w/ your price)</t>
        </is>
      </c>
      <c r="N4" s="7" t="inlineStr">
        <is>
          <t>(tie group)</t>
        </is>
      </c>
      <c r="O4" s="7" t="inlineStr">
        <is>
          <t>(P5–P95 outcome)</t>
        </is>
      </c>
      <c r="P4" s="7" t="inlineStr">
        <is>
          <t>(scales w/ price: high when new)</t>
        </is>
      </c>
    </row>
    <row r="5">
      <c r="A5" s="8" t="inlineStr">
        <is>
          <t>Chevy Bolt EV</t>
        </is>
      </c>
      <c r="B5" s="9" t="inlineStr">
        <is>
          <t>▒</t>
        </is>
      </c>
      <c r="C5" s="9" t="inlineStr">
        <is>
          <t>▒</t>
        </is>
      </c>
      <c r="D5" s="10">
        <f>0.22026+0.099429*'Ranking (hardened)'!$F$6/15643</f>
        <v/>
      </c>
      <c r="E5" s="11">
        <f>0.23874+0.105462*'Ranking (hardened)'!$F$6/15643</f>
        <v/>
      </c>
      <c r="F5" s="11">
        <f>0.24938+0.116473*'Ranking (hardened)'!$F$6/15643</f>
        <v/>
      </c>
      <c r="G5" s="11">
        <f>0.26201+0.133067*'Ranking (hardened)'!$F$6/15643</f>
        <v/>
      </c>
      <c r="H5" s="11">
        <f>0.27194+0.157107*'Ranking (hardened)'!$F$6/15643</f>
        <v/>
      </c>
      <c r="I5" s="9" t="inlineStr">
        <is>
          <t>▒</t>
        </is>
      </c>
      <c r="J5" s="9" t="inlineStr">
        <is>
          <t>▒</t>
        </is>
      </c>
      <c r="K5" s="12" t="inlineStr">
        <is>
          <t>↓ 40k · ≈2023</t>
        </is>
      </c>
      <c r="L5" s="13" t="inlineStr">
        <is>
          <t>◆ 45k · ≈2023 · $15,643</t>
        </is>
      </c>
      <c r="M5" s="14">
        <f>0.22331+0.100792*'Ranking (hardened)'!$F$6/15643</f>
        <v/>
      </c>
      <c r="N5" s="15" t="n">
        <v>1</v>
      </c>
      <c r="O5" s="16" t="inlineStr">
        <is>
          <t>$0.289–$0.389</t>
        </is>
      </c>
      <c r="P5" s="16" t="inlineStr">
        <is>
          <t>$0.129 → $0.081</t>
        </is>
      </c>
    </row>
    <row r="6">
      <c r="A6" s="8" t="inlineStr">
        <is>
          <t>Chevy Volt</t>
        </is>
      </c>
      <c r="B6" s="9" t="inlineStr">
        <is>
          <t>▒</t>
        </is>
      </c>
      <c r="C6" s="9" t="inlineStr">
        <is>
          <t>▒</t>
        </is>
      </c>
      <c r="D6" s="9" t="inlineStr">
        <is>
          <t>▒</t>
        </is>
      </c>
      <c r="E6" s="9" t="inlineStr">
        <is>
          <t>▒</t>
        </is>
      </c>
      <c r="F6" s="9" t="inlineStr">
        <is>
          <t>▒</t>
        </is>
      </c>
      <c r="G6" s="10">
        <f>0.26688+0.12475*'Ranking (hardened)'!$F$7/15143</f>
        <v/>
      </c>
      <c r="H6" s="11">
        <f>0.27719+0.143392*'Ranking (hardened)'!$F$7/15143</f>
        <v/>
      </c>
      <c r="I6" s="9" t="inlineStr">
        <is>
          <t>▒</t>
        </is>
      </c>
      <c r="J6" s="9" t="inlineStr">
        <is>
          <t>▒</t>
        </is>
      </c>
      <c r="K6" s="12" t="inlineStr">
        <is>
          <t>↓ 100k · ≈2018</t>
        </is>
      </c>
      <c r="L6" s="13" t="inlineStr">
        <is>
          <t>◆ 55k · ≈2019 · $15,143</t>
        </is>
      </c>
      <c r="M6" s="14">
        <f>0.23564+0.10429*'Ranking (hardened)'!$F$7/15143</f>
        <v/>
      </c>
      <c r="N6" s="15" t="n">
        <v>1</v>
      </c>
      <c r="O6" s="16" t="inlineStr">
        <is>
          <t>$0.307–$0.385</t>
        </is>
      </c>
      <c r="P6" s="16" t="inlineStr">
        <is>
          <t>$0.085 → $0.074</t>
        </is>
      </c>
    </row>
    <row r="7">
      <c r="A7" s="8" t="inlineStr">
        <is>
          <t>Toyota Prius (hybrid)</t>
        </is>
      </c>
      <c r="B7" s="11">
        <f>0.21025+0.116861*'Ranking (hardened)'!$F$8/26000</f>
        <v/>
      </c>
      <c r="C7" s="11">
        <f>0.21645+0.120209*'Ranking (hardened)'!$F$8/26000</f>
        <v/>
      </c>
      <c r="D7" s="10">
        <f>0.22881+0.124046*'Ranking (hardened)'!$F$8/26000</f>
        <v/>
      </c>
      <c r="E7" s="11">
        <f>0.24294+0.130098*'Ranking (hardened)'!$F$8/26000</f>
        <v/>
      </c>
      <c r="F7" s="11">
        <f>0.2564+0.133648*'Ranking (hardened)'!$F$8/26000</f>
        <v/>
      </c>
      <c r="G7" s="11">
        <f>0.26655+0.13369*'Ranking (hardened)'!$F$8/26000</f>
        <v/>
      </c>
      <c r="H7" s="11">
        <f>0.28486+0.133745*'Ranking (hardened)'!$F$8/26000</f>
        <v/>
      </c>
      <c r="I7" s="11">
        <f>0.29692+0.145582*'Ranking (hardened)'!$F$8/26000</f>
        <v/>
      </c>
      <c r="J7" s="11">
        <f>0.31285+0.175287*'Ranking (hardened)'!$F$8/26000</f>
        <v/>
      </c>
      <c r="K7" s="12" t="inlineStr">
        <is>
          <t>↓ 10k · ≈2025</t>
        </is>
      </c>
      <c r="L7" s="13" t="inlineStr">
        <is>
          <t>◆ 40k · ≈2023 · $26,000</t>
        </is>
      </c>
      <c r="M7" s="14">
        <f>0.22881+0.124046*'Ranking (hardened)'!$F$8/26000</f>
        <v/>
      </c>
      <c r="N7" s="15" t="n">
        <v>1</v>
      </c>
      <c r="O7" s="16" t="inlineStr">
        <is>
          <t>$0.321–$0.387</t>
        </is>
      </c>
      <c r="P7" s="16" t="inlineStr">
        <is>
          <t>$0.290 → $0.077</t>
        </is>
      </c>
    </row>
    <row r="8">
      <c r="A8" s="8" t="inlineStr">
        <is>
          <t>Toyota Prius Prime</t>
        </is>
      </c>
      <c r="B8" s="11">
        <f>0.2178+0.133156*'Ranking (hardened)'!$F$9/15000</f>
        <v/>
      </c>
      <c r="C8" s="11">
        <f>0.22364+0.130051*'Ranking (hardened)'!$F$9/15000</f>
        <v/>
      </c>
      <c r="D8" s="11">
        <f>0.2348+0.114354*'Ranking (hardened)'!$F$9/15000</f>
        <v/>
      </c>
      <c r="E8" s="11">
        <f>0.24502+0.108386*'Ranking (hardened)'!$F$9/15000</f>
        <v/>
      </c>
      <c r="F8" s="10">
        <f>0.2577+0.105173*'Ranking (hardened)'!$F$9/15000</f>
        <v/>
      </c>
      <c r="G8" s="11">
        <f>0.27185+0.105937*'Ranking (hardened)'!$F$9/15000</f>
        <v/>
      </c>
      <c r="H8" s="11">
        <f>0.30505+0.112749*'Ranking (hardened)'!$F$9/15000</f>
        <v/>
      </c>
      <c r="I8" s="9" t="inlineStr">
        <is>
          <t>▒</t>
        </is>
      </c>
      <c r="J8" s="9" t="inlineStr">
        <is>
          <t>▒</t>
        </is>
      </c>
      <c r="K8" s="12" t="inlineStr">
        <is>
          <t>↓ 40k · ≈2023</t>
        </is>
      </c>
      <c r="L8" s="13" t="inlineStr">
        <is>
          <t>◆ 90k · ≈2019 · $15,000</t>
        </is>
      </c>
      <c r="M8" s="14">
        <f>0.26449+0.103235*'Ranking (hardened)'!$F$9/15000</f>
        <v/>
      </c>
      <c r="N8" s="17" t="n">
        <v>2</v>
      </c>
      <c r="O8" s="16" t="inlineStr">
        <is>
          <t>$0.330–$0.415</t>
        </is>
      </c>
      <c r="P8" s="16" t="inlineStr">
        <is>
          <t>$0.297 → $0.093</t>
        </is>
      </c>
    </row>
    <row r="9">
      <c r="A9" s="8" t="inlineStr">
        <is>
          <t>Toyota Corolla</t>
        </is>
      </c>
      <c r="B9" s="11">
        <f>0.25+0.100167*'Ranking (hardened)'!$F$10/17659</f>
        <v/>
      </c>
      <c r="C9" s="11">
        <f>0.25644+0.093809*'Ranking (hardened)'!$F$10/17659</f>
        <v/>
      </c>
      <c r="D9" s="11">
        <f>0.27818+0.089695*'Ranking (hardened)'!$F$10/17659</f>
        <v/>
      </c>
      <c r="E9" s="10">
        <f>0.28315+0.091341*'Ranking (hardened)'!$F$10/17659</f>
        <v/>
      </c>
      <c r="F9" s="11">
        <f>0.31268+0.095603*'Ranking (hardened)'!$F$10/17659</f>
        <v/>
      </c>
      <c r="G9" s="11">
        <f>0.31611+0.10361*'Ranking (hardened)'!$F$10/17659</f>
        <v/>
      </c>
      <c r="H9" s="11">
        <f>0.33306+0.106739*'Ranking (hardened)'!$F$10/17659</f>
        <v/>
      </c>
      <c r="I9" s="11">
        <f>0.37744+0.115462*'Ranking (hardened)'!$F$10/17659</f>
        <v/>
      </c>
      <c r="J9" s="11">
        <f>0.38134+0.133621*'Ranking (hardened)'!$F$10/17659</f>
        <v/>
      </c>
      <c r="K9" s="12" t="inlineStr">
        <is>
          <t>↓ 10k · ≈2025</t>
        </is>
      </c>
      <c r="L9" s="13" t="inlineStr">
        <is>
          <t>◆ 55k · ≈2022 · $17,659</t>
        </is>
      </c>
      <c r="M9" s="14">
        <f>0.27875+0.090746*'Ranking (hardened)'!$F$10/17659</f>
        <v/>
      </c>
      <c r="N9" s="17" t="n">
        <v>2</v>
      </c>
      <c r="O9" s="16" t="inlineStr">
        <is>
          <t>$0.339–$0.402</t>
        </is>
      </c>
      <c r="P9" s="16" t="inlineStr">
        <is>
          <t>$0.248 → $0.058</t>
        </is>
      </c>
    </row>
    <row r="10">
      <c r="A10" s="8" t="inlineStr">
        <is>
          <t>Toyota Camry Hybrid</t>
        </is>
      </c>
      <c r="B10" s="11">
        <f>0.22903+0.129382*'Ranking (hardened)'!$F$11/16500</f>
        <v/>
      </c>
      <c r="C10" s="11">
        <f>0.23529+0.126307*'Ranking (hardened)'!$F$11/16500</f>
        <v/>
      </c>
      <c r="D10" s="11">
        <f>0.24704+0.105643*'Ranking (hardened)'!$F$11/16500</f>
        <v/>
      </c>
      <c r="E10" s="11">
        <f>0.25816+0.098704*'Ranking (hardened)'!$F$11/16500</f>
        <v/>
      </c>
      <c r="F10" s="10">
        <f>0.27228+0.097288*'Ranking (hardened)'!$F$11/16500</f>
        <v/>
      </c>
      <c r="G10" s="11">
        <f>0.30566+0.10361*'Ranking (hardened)'!$F$11/16500</f>
        <v/>
      </c>
      <c r="H10" s="11">
        <f>0.30892+0.110597*'Ranking (hardened)'!$F$11/16500</f>
        <v/>
      </c>
      <c r="I10" s="11">
        <f>0.32463+0.122992*'Ranking (hardened)'!$F$11/16500</f>
        <v/>
      </c>
      <c r="J10" s="11">
        <f>0.34563+0.143678*'Ranking (hardened)'!$F$11/16500</f>
        <v/>
      </c>
      <c r="K10" s="12" t="inlineStr">
        <is>
          <t>↓ 40k · ≈2023</t>
        </is>
      </c>
      <c r="L10" s="13" t="inlineStr">
        <is>
          <t>◆ 80k · ≈2020 · $16,500</t>
        </is>
      </c>
      <c r="M10" s="14">
        <f>0.27228+0.097288*'Ranking (hardened)'!$F$11/16500</f>
        <v/>
      </c>
      <c r="N10" s="17" t="n">
        <v>2</v>
      </c>
      <c r="O10" s="16" t="inlineStr">
        <is>
          <t>$0.335–$0.411</t>
        </is>
      </c>
      <c r="P10" s="16" t="inlineStr">
        <is>
          <t>$0.321 → $0.063</t>
        </is>
      </c>
    </row>
    <row r="11">
      <c r="A11" s="8" t="inlineStr">
        <is>
          <t>Honda Civic</t>
        </is>
      </c>
      <c r="B11" s="11">
        <f>0.24981+0.110963*'Ranking (hardened)'!$F$12/23789</f>
        <v/>
      </c>
      <c r="C11" s="11">
        <f>0.25693+0.114161*'Ranking (hardened)'!$F$12/23789</f>
        <v/>
      </c>
      <c r="D11" s="10">
        <f>0.27136+0.120462*'Ranking (hardened)'!$F$12/23789</f>
        <v/>
      </c>
      <c r="E11" s="11">
        <f>0.28444+0.127638*'Ranking (hardened)'!$F$12/23789</f>
        <v/>
      </c>
      <c r="F11" s="11">
        <f>0.29935+0.130393*'Ranking (hardened)'!$F$12/23789</f>
        <v/>
      </c>
      <c r="G11" s="11">
        <f>0.31548+0.133038*'Ranking (hardened)'!$F$12/23789</f>
        <v/>
      </c>
      <c r="H11" s="11">
        <f>0.3356+0.138768*'Ranking (hardened)'!$F$12/23789</f>
        <v/>
      </c>
      <c r="I11" s="11">
        <f>0.35046+0.152403*'Ranking (hardened)'!$F$12/23789</f>
        <v/>
      </c>
      <c r="J11" s="11">
        <f>0.36578+0.180832*'Ranking (hardened)'!$F$12/23789</f>
        <v/>
      </c>
      <c r="K11" s="12" t="inlineStr">
        <is>
          <t>↓ 10k · ≈2025</t>
        </is>
      </c>
      <c r="L11" s="13" t="inlineStr">
        <is>
          <t>◆ 35k · ≈2023 · $23,789</t>
        </is>
      </c>
      <c r="M11" s="14">
        <f>0.26782+0.118769*'Ranking (hardened)'!$F$12/23789</f>
        <v/>
      </c>
      <c r="N11" s="17" t="n">
        <v>2</v>
      </c>
      <c r="O11" s="16" t="inlineStr">
        <is>
          <t>$0.357–$0.417</t>
        </is>
      </c>
      <c r="P11" s="16" t="inlineStr">
        <is>
          <t>$0.247 → $0.060</t>
        </is>
      </c>
    </row>
    <row r="12">
      <c r="A12" s="8" t="inlineStr">
        <is>
          <t>Nissan Leaf</t>
        </is>
      </c>
      <c r="B12" s="11">
        <f>0.24918+0.145706*'Ranking (hardened)'!$F$13/11667</f>
        <v/>
      </c>
      <c r="C12" s="11">
        <f>0.25528+0.137585*'Ranking (hardened)'!$F$13/11667</f>
        <v/>
      </c>
      <c r="D12" s="10">
        <f>0.2651+0.117862*'Ranking (hardened)'!$F$13/11667</f>
        <v/>
      </c>
      <c r="E12" s="11">
        <f>0.27948+0.138889*'Ranking (hardened)'!$F$13/11667</f>
        <v/>
      </c>
      <c r="F12" s="11">
        <f>0.29131+0.167928*'Ranking (hardened)'!$F$13/11667</f>
        <v/>
      </c>
      <c r="G12" s="11">
        <f>0.32324+0.222772*'Ranking (hardened)'!$F$13/11667</f>
        <v/>
      </c>
      <c r="H12" s="9" t="inlineStr">
        <is>
          <t>▒</t>
        </is>
      </c>
      <c r="I12" s="9" t="inlineStr">
        <is>
          <t>▒</t>
        </is>
      </c>
      <c r="J12" s="9" t="inlineStr">
        <is>
          <t>▒</t>
        </is>
      </c>
      <c r="K12" s="12" t="inlineStr">
        <is>
          <t>↓ 40k · ≈2023</t>
        </is>
      </c>
      <c r="L12" s="13" t="inlineStr">
        <is>
          <t>◆ 45k · ≈2023 · $11,667</t>
        </is>
      </c>
      <c r="M12" s="14">
        <f>0.27075+0.122292*'Ranking (hardened)'!$F$13/11667</f>
        <v/>
      </c>
      <c r="N12" s="17" t="n">
        <v>2</v>
      </c>
      <c r="O12" s="16" t="inlineStr">
        <is>
          <t>$0.339–$0.473</t>
        </is>
      </c>
      <c r="P12" s="16" t="inlineStr">
        <is>
          <t>$0.142 → $0.052</t>
        </is>
      </c>
    </row>
    <row r="13">
      <c r="A13" s="8" t="inlineStr">
        <is>
          <t>Hyundai Elantra</t>
        </is>
      </c>
      <c r="B13" s="11">
        <f>0.25719+0.105152*'Ranking (hardened)'!$F$14/16000</f>
        <v/>
      </c>
      <c r="C13" s="11">
        <f>0.26681+0.105197*'Ranking (hardened)'!$F$14/16000</f>
        <v/>
      </c>
      <c r="D13" s="10">
        <f>0.28207+0.102996*'Ranking (hardened)'!$F$14/16000</f>
        <v/>
      </c>
      <c r="E13" s="11">
        <f>0.29856+0.103424*'Ranking (hardened)'!$F$14/16000</f>
        <v/>
      </c>
      <c r="F13" s="11">
        <f>0.31405+0.103993*'Ranking (hardened)'!$F$14/16000</f>
        <v/>
      </c>
      <c r="G13" s="11">
        <f>0.33223+0.105503*'Ranking (hardened)'!$F$14/16000</f>
        <v/>
      </c>
      <c r="H13" s="11">
        <f>0.38062+0.110438*'Ranking (hardened)'!$F$14/16000</f>
        <v/>
      </c>
      <c r="I13" s="11">
        <f>0.37007+0.130905*'Ranking (hardened)'!$F$14/16000</f>
        <v/>
      </c>
      <c r="J13" s="11">
        <f>0.35405+0.272277*'Ranking (hardened)'!$F$14/16000</f>
        <v/>
      </c>
      <c r="K13" s="12" t="inlineStr">
        <is>
          <t>↓ 10k · ≈2025</t>
        </is>
      </c>
      <c r="L13" s="13" t="inlineStr">
        <is>
          <t>◆ 45k · ≈2023 · $16,000</t>
        </is>
      </c>
      <c r="M13" s="14">
        <f>0.28879+0.103093*'Ranking (hardened)'!$F$14/16000</f>
        <v/>
      </c>
      <c r="N13" s="17" t="n">
        <v>2</v>
      </c>
      <c r="O13" s="16" t="inlineStr">
        <is>
          <t>$0.357–$0.432</t>
        </is>
      </c>
      <c r="P13" s="16" t="inlineStr">
        <is>
          <t>$0.178 → $0.030</t>
        </is>
      </c>
    </row>
    <row r="14">
      <c r="A14" s="8" t="inlineStr">
        <is>
          <t>Honda Accord</t>
        </is>
      </c>
      <c r="B14" s="11">
        <f>0.25436+0.121475*'Ranking (hardened)'!$F$15/16143</f>
        <v/>
      </c>
      <c r="C14" s="11">
        <f>0.26071+0.115322*'Ranking (hardened)'!$F$15/16143</f>
        <v/>
      </c>
      <c r="D14" s="11">
        <f>0.27439+0.094763*'Ranking (hardened)'!$F$15/16143</f>
        <v/>
      </c>
      <c r="E14" s="10">
        <f>0.28624+0.094183*'Ranking (hardened)'!$F$15/16143</f>
        <v/>
      </c>
      <c r="F14" s="11">
        <f>0.30262+0.096128*'Ranking (hardened)'!$F$15/16143</f>
        <v/>
      </c>
      <c r="G14" s="11">
        <f>0.33599+0.099644*'Ranking (hardened)'!$F$15/16143</f>
        <v/>
      </c>
      <c r="H14" s="11">
        <f>0.33226+0.107884*'Ranking (hardened)'!$F$15/16143</f>
        <v/>
      </c>
      <c r="I14" s="11">
        <f>0.35849+0.124309*'Ranking (hardened)'!$F$15/16143</f>
        <v/>
      </c>
      <c r="J14" s="11">
        <f>0.36236+0.14876*'Ranking (hardened)'!$F$15/16143</f>
        <v/>
      </c>
      <c r="K14" s="12" t="inlineStr">
        <is>
          <t>↓ 40k · ≈2023</t>
        </is>
      </c>
      <c r="L14" s="13" t="inlineStr">
        <is>
          <t>◆ 70k · ≈2021 · $16,143</t>
        </is>
      </c>
      <c r="M14" s="14">
        <f>0.29392+0.09468*'Ranking (hardened)'!$F$15/16143</f>
        <v/>
      </c>
      <c r="N14" s="17" t="n">
        <v>2</v>
      </c>
      <c r="O14" s="16" t="inlineStr">
        <is>
          <t>$0.355–$0.425</t>
        </is>
      </c>
      <c r="P14" s="16" t="inlineStr">
        <is>
          <t>$0.282 → $0.055</t>
        </is>
      </c>
    </row>
    <row r="15">
      <c r="A15" s="8" t="inlineStr">
        <is>
          <t>Kia K4</t>
        </is>
      </c>
      <c r="B15" s="10">
        <f>0.27346+0.114016*'Ranking (hardened)'!$F$16/20125</f>
        <v/>
      </c>
      <c r="C15" s="9" t="inlineStr">
        <is>
          <t>▒</t>
        </is>
      </c>
      <c r="D15" s="9" t="inlineStr">
        <is>
          <t>▒</t>
        </is>
      </c>
      <c r="E15" s="9" t="inlineStr">
        <is>
          <t>▒</t>
        </is>
      </c>
      <c r="F15" s="9" t="inlineStr">
        <is>
          <t>▒</t>
        </is>
      </c>
      <c r="G15" s="9" t="inlineStr">
        <is>
          <t>▒</t>
        </is>
      </c>
      <c r="H15" s="9" t="inlineStr">
        <is>
          <t>▒</t>
        </is>
      </c>
      <c r="I15" s="9" t="inlineStr">
        <is>
          <t>▒</t>
        </is>
      </c>
      <c r="J15" s="9" t="inlineStr">
        <is>
          <t>▒</t>
        </is>
      </c>
      <c r="K15" s="12" t="inlineStr">
        <is>
          <t>↓ 10k · ≈2025</t>
        </is>
      </c>
      <c r="L15" s="13" t="inlineStr">
        <is>
          <t>◆ 18k · ≈2025 · $20,125</t>
        </is>
      </c>
      <c r="M15" s="14">
        <f>0.28088+0.117142*'Ranking (hardened)'!$F$16/20125</f>
        <v/>
      </c>
      <c r="N15" s="17" t="n">
        <v>2</v>
      </c>
      <c r="O15" s="16" t="inlineStr">
        <is>
          <t>$0.369–$0.436</t>
        </is>
      </c>
      <c r="P15" s="16" t="inlineStr">
        <is>
          <t>$0.177 → $0.177</t>
        </is>
      </c>
    </row>
    <row r="16">
      <c r="A16" s="8" t="inlineStr">
        <is>
          <t>Mazda3 (SkyActiv)</t>
        </is>
      </c>
      <c r="B16" s="11">
        <f>0.259+0.119641*'Ranking (hardened)'!$F$17/15000</f>
        <v/>
      </c>
      <c r="C16" s="11">
        <f>0.26691+0.114675*'Ranking (hardened)'!$F$17/15000</f>
        <v/>
      </c>
      <c r="D16" s="11">
        <f>0.27892+0.096717*'Ranking (hardened)'!$F$17/15000</f>
        <v/>
      </c>
      <c r="E16" s="10">
        <f>0.29015+0.101594*'Ranking (hardened)'!$F$17/15000</f>
        <v/>
      </c>
      <c r="F16" s="11">
        <f>0.30896+0.101072*'Ranking (hardened)'!$F$17/15000</f>
        <v/>
      </c>
      <c r="G16" s="11">
        <f>0.31679+0.097197*'Ranking (hardened)'!$F$17/15000</f>
        <v/>
      </c>
      <c r="H16" s="11">
        <f>0.33057+0.096578*'Ranking (hardened)'!$F$17/15000</f>
        <v/>
      </c>
      <c r="I16" s="11">
        <f>0.36053+0.115512*'Ranking (hardened)'!$F$17/15000</f>
        <v/>
      </c>
      <c r="J16" s="11">
        <f>0.29861+0.179739*'Ranking (hardened)'!$F$17/15000</f>
        <v/>
      </c>
      <c r="K16" s="12" t="inlineStr">
        <is>
          <t>↓ 40k · ≈2023</t>
        </is>
      </c>
      <c r="L16" s="13" t="inlineStr">
        <is>
          <t>◆ 65k · ≈2021 · $15,000</t>
        </is>
      </c>
      <c r="M16" s="14">
        <f>0.2945+0.103022*'Ranking (hardened)'!$F$17/15000</f>
        <v/>
      </c>
      <c r="N16" s="17" t="n">
        <v>2</v>
      </c>
      <c r="O16" s="16" t="inlineStr">
        <is>
          <t>$0.364–$0.441</t>
        </is>
      </c>
      <c r="P16" s="16" t="inlineStr">
        <is>
          <t>$0.220 → $0.031</t>
        </is>
      </c>
    </row>
    <row r="17">
      <c r="A17" s="8" t="inlineStr">
        <is>
          <t>Toyota Camry</t>
        </is>
      </c>
      <c r="B17" s="11">
        <f>0.2552+0.114379*'Ranking (hardened)'!$F$18/22400</f>
        <v/>
      </c>
      <c r="C17" s="11">
        <f>0.26255+0.114767*'Ranking (hardened)'!$F$18/22400</f>
        <v/>
      </c>
      <c r="D17" s="11">
        <f>0.27754+0.113202*'Ranking (hardened)'!$F$18/22400</f>
        <v/>
      </c>
      <c r="E17" s="10">
        <f>0.29121+0.11191*'Ranking (hardened)'!$F$18/22400</f>
        <v/>
      </c>
      <c r="F17" s="11">
        <f>0.30781+0.110984*'Ranking (hardened)'!$F$18/22400</f>
        <v/>
      </c>
      <c r="G17" s="11">
        <f>0.34363+0.109819*'Ranking (hardened)'!$F$18/22400</f>
        <v/>
      </c>
      <c r="H17" s="11">
        <f>0.34534+0.111276*'Ranking (hardened)'!$F$18/22400</f>
        <v/>
      </c>
      <c r="I17" s="11">
        <f>0.37945+0.119275*'Ranking (hardened)'!$F$18/22400</f>
        <v/>
      </c>
      <c r="J17" s="11">
        <f>0.40875+0.13369*'Ranking (hardened)'!$F$18/22400</f>
        <v/>
      </c>
      <c r="K17" s="12" t="inlineStr">
        <is>
          <t>↓ 10k · ≈2025</t>
        </is>
      </c>
      <c r="L17" s="13" t="inlineStr">
        <is>
          <t>◆ 55k · ≈2022 · $22,400</t>
        </is>
      </c>
      <c r="M17" s="14">
        <f>0.28655+0.112112*'Ranking (hardened)'!$F$18/22400</f>
        <v/>
      </c>
      <c r="N17" s="17" t="n">
        <v>2</v>
      </c>
      <c r="O17" s="16" t="inlineStr">
        <is>
          <t>$0.363–$0.436</t>
        </is>
      </c>
      <c r="P17" s="16" t="inlineStr">
        <is>
          <t>$0.295 → $0.064</t>
        </is>
      </c>
    </row>
    <row r="18">
      <c r="A18" s="8" t="inlineStr">
        <is>
          <t>Toyota RAV4 Hybrid</t>
        </is>
      </c>
      <c r="B18" s="11">
        <f>0.23144+0.145051*'Ranking (hardened)'!$F$19/30444</f>
        <v/>
      </c>
      <c r="C18" s="11">
        <f>0.23767+0.147059*'Ranking (hardened)'!$F$19/30444</f>
        <v/>
      </c>
      <c r="D18" s="10">
        <f>0.25008+0.148945*'Ranking (hardened)'!$F$19/30444</f>
        <v/>
      </c>
      <c r="E18" s="11">
        <f>0.2614+0.159074*'Ranking (hardened)'!$F$19/30444</f>
        <v/>
      </c>
      <c r="F18" s="11">
        <f>0.27797+0.162206*'Ranking (hardened)'!$F$19/30444</f>
        <v/>
      </c>
      <c r="G18" s="11">
        <f>0.28833+0.166205*'Ranking (hardened)'!$F$19/30444</f>
        <v/>
      </c>
      <c r="H18" s="11">
        <f>0.30144+0.17283*'Ranking (hardened)'!$F$19/30444</f>
        <v/>
      </c>
      <c r="I18" s="9" t="inlineStr">
        <is>
          <t>▒</t>
        </is>
      </c>
      <c r="J18" s="9" t="inlineStr">
        <is>
          <t>▒</t>
        </is>
      </c>
      <c r="K18" s="12" t="inlineStr">
        <is>
          <t>↓ 10k · ≈2025</t>
        </is>
      </c>
      <c r="L18" s="13" t="inlineStr">
        <is>
          <t>◆ 40k · ≈2023 · $30,444</t>
        </is>
      </c>
      <c r="M18" s="14">
        <f>0.25008+0.148945*'Ranking (hardened)'!$F$19/30444</f>
        <v/>
      </c>
      <c r="N18" s="17" t="n">
        <v>2</v>
      </c>
      <c r="O18" s="16" t="inlineStr">
        <is>
          <t>$0.359–$0.437</t>
        </is>
      </c>
      <c r="P18" s="16" t="inlineStr">
        <is>
          <t>$0.346 → $0.157</t>
        </is>
      </c>
    </row>
    <row r="19">
      <c r="A19" s="8" t="inlineStr">
        <is>
          <t>Kia Niro (hybrid)</t>
        </is>
      </c>
      <c r="B19" s="11">
        <f>0.24178+0.13306*'Ranking (hardened)'!$F$20/17000</f>
        <v/>
      </c>
      <c r="C19" s="11">
        <f>0.25024+0.134844*'Ranking (hardened)'!$F$20/17000</f>
        <v/>
      </c>
      <c r="D19" s="11">
        <f>0.2661+0.126965*'Ranking (hardened)'!$F$20/17000</f>
        <v/>
      </c>
      <c r="E19" s="10">
        <f>0.28137+0.122421*'Ranking (hardened)'!$F$20/17000</f>
        <v/>
      </c>
      <c r="F19" s="11">
        <f>0.29945+0.123604*'Ranking (hardened)'!$F$20/17000</f>
        <v/>
      </c>
      <c r="G19" s="11">
        <f>0.32224+0.126502*'Ranking (hardened)'!$F$20/17000</f>
        <v/>
      </c>
      <c r="H19" s="11">
        <f>0.37213+0.124902*'Ranking (hardened)'!$F$20/17000</f>
        <v/>
      </c>
      <c r="I19" s="9" t="inlineStr">
        <is>
          <t>▒</t>
        </is>
      </c>
      <c r="J19" s="9" t="inlineStr">
        <is>
          <t>▒</t>
        </is>
      </c>
      <c r="K19" s="12" t="inlineStr">
        <is>
          <t>↓ 10k · ≈2025</t>
        </is>
      </c>
      <c r="L19" s="13" t="inlineStr">
        <is>
          <t>◆ 65k · ≈2021 · $17,000</t>
        </is>
      </c>
      <c r="M19" s="14">
        <f>0.28517+0.121083*'Ranking (hardened)'!$F$20/17000</f>
        <v/>
      </c>
      <c r="N19" s="18" t="n">
        <v>3</v>
      </c>
      <c r="O19" s="16" t="inlineStr">
        <is>
          <t>$0.367–$0.460</t>
        </is>
      </c>
      <c r="P19" s="16" t="inlineStr">
        <is>
          <t>$0.235 → $0.070</t>
        </is>
      </c>
    </row>
    <row r="20">
      <c r="A20" s="8" t="inlineStr">
        <is>
          <t>Tesla Model 3</t>
        </is>
      </c>
      <c r="B20" s="11">
        <f>0.2568+0.154475*'Ranking (hardened)'!$F$21/21500</f>
        <v/>
      </c>
      <c r="C20" s="11">
        <f>0.26453+0.153668*'Ranking (hardened)'!$F$21/21500</f>
        <v/>
      </c>
      <c r="D20" s="11">
        <f>0.27518+0.133764*'Ranking (hardened)'!$F$21/21500</f>
        <v/>
      </c>
      <c r="E20" s="10">
        <f>0.29316+0.126396*'Ranking (hardened)'!$F$21/21500</f>
        <v/>
      </c>
      <c r="F20" s="11">
        <f>0.31136+0.133245*'Ranking (hardened)'!$F$21/21500</f>
        <v/>
      </c>
      <c r="G20" s="11">
        <f>0.35548+0.138355*'Ranking (hardened)'!$F$21/21500</f>
        <v/>
      </c>
      <c r="H20" s="9" t="inlineStr">
        <is>
          <t>▒</t>
        </is>
      </c>
      <c r="I20" s="9" t="inlineStr">
        <is>
          <t>▒</t>
        </is>
      </c>
      <c r="J20" s="9" t="inlineStr">
        <is>
          <t>▒</t>
        </is>
      </c>
      <c r="K20" s="12" t="inlineStr">
        <is>
          <t>↓ 40k · ≈2023</t>
        </is>
      </c>
      <c r="L20" s="13" t="inlineStr">
        <is>
          <t>◆ 60k · ≈2021 · $21,500</t>
        </is>
      </c>
      <c r="M20" s="14">
        <f>0.29316+0.126396*'Ranking (hardened)'!$F$21/21500</f>
        <v/>
      </c>
      <c r="N20" s="18" t="n">
        <v>3</v>
      </c>
      <c r="O20" s="16" t="inlineStr">
        <is>
          <t>$0.367–$0.503</t>
        </is>
      </c>
      <c r="P20" s="16" t="inlineStr">
        <is>
          <t>$0.331 → $0.134</t>
        </is>
      </c>
    </row>
    <row r="21">
      <c r="A21" s="8" t="inlineStr">
        <is>
          <t>Hyundai Sonata</t>
        </is>
      </c>
      <c r="B21" s="11">
        <f>0.2727+0.118919*'Ranking (hardened)'!$F$22/15333</f>
        <v/>
      </c>
      <c r="C21" s="11">
        <f>0.28104+0.121143*'Ranking (hardened)'!$F$22/15333</f>
        <v/>
      </c>
      <c r="D21" s="11">
        <f>0.29615+0.116129*'Ranking (hardened)'!$F$22/15333</f>
        <v/>
      </c>
      <c r="E21" s="10">
        <f>0.31268+0.11358*'Ranking (hardened)'!$F$22/15333</f>
        <v/>
      </c>
      <c r="F21" s="11">
        <f>0.32753+0.113043*'Ranking (hardened)'!$F$22/15333</f>
        <v/>
      </c>
      <c r="G21" s="11">
        <f>0.34994+0.115789*'Ranking (hardened)'!$F$22/15333</f>
        <v/>
      </c>
      <c r="H21" s="11">
        <f>0.37026+0.12381*'Ranking (hardened)'!$F$22/15333</f>
        <v/>
      </c>
      <c r="I21" s="11">
        <f>0.43761+0.153968*'Ranking (hardened)'!$F$22/15333</f>
        <v/>
      </c>
      <c r="J21" s="9" t="inlineStr">
        <is>
          <t>▒</t>
        </is>
      </c>
      <c r="K21" s="12" t="inlineStr">
        <is>
          <t>↓ 10k · ≈2025</t>
        </is>
      </c>
      <c r="L21" s="13" t="inlineStr">
        <is>
          <t>◆ 60k · ≈2021 · $15,333</t>
        </is>
      </c>
      <c r="M21" s="14">
        <f>0.31268+0.11358*'Ranking (hardened)'!$F$22/15333</f>
        <v/>
      </c>
      <c r="N21" s="18" t="n">
        <v>3</v>
      </c>
      <c r="O21" s="16" t="inlineStr">
        <is>
          <t>$0.387–$0.478</t>
        </is>
      </c>
      <c r="P21" s="16" t="inlineStr">
        <is>
          <t>$0.193 → $0.041</t>
        </is>
      </c>
    </row>
    <row r="22">
      <c r="A22" s="8" t="inlineStr">
        <is>
          <t>Toyota RAV4</t>
        </is>
      </c>
      <c r="B22" s="11">
        <f>0.25799+0.143167*'Ranking (hardened)'!$F$23/20600</f>
        <v/>
      </c>
      <c r="C22" s="11">
        <f>0.26438+0.14059*'Ranking (hardened)'!$F$23/20600</f>
        <v/>
      </c>
      <c r="D22" s="11">
        <f>0.27779+0.142643*'Ranking (hardened)'!$F$23/20600</f>
        <v/>
      </c>
      <c r="E22" s="11">
        <f>0.28915+0.134349*'Ranking (hardened)'!$F$23/20600</f>
        <v/>
      </c>
      <c r="F22" s="10">
        <f>0.3058+0.128349*'Ranking (hardened)'!$F$23/20600</f>
        <v/>
      </c>
      <c r="G22" s="11">
        <f>0.31761+0.128114*'Ranking (hardened)'!$F$23/20600</f>
        <v/>
      </c>
      <c r="H22" s="11">
        <f>0.33231+0.13278*'Ranking (hardened)'!$F$23/20600</f>
        <v/>
      </c>
      <c r="I22" s="11">
        <f>0.3954+0.160835*'Ranking (hardened)'!$F$23/20600</f>
        <v/>
      </c>
      <c r="J22" s="9" t="inlineStr">
        <is>
          <t>▒</t>
        </is>
      </c>
      <c r="K22" s="12" t="inlineStr">
        <is>
          <t>↓ 10k · ≈2025</t>
        </is>
      </c>
      <c r="L22" s="13" t="inlineStr">
        <is>
          <t>◆ 80k · ≈2020 · $20,600</t>
        </is>
      </c>
      <c r="M22" s="14">
        <f>0.3058+0.128349*'Ranking (hardened)'!$F$23/20600</f>
        <v/>
      </c>
      <c r="N22" s="18" t="n">
        <v>3</v>
      </c>
      <c r="O22" s="16" t="inlineStr">
        <is>
          <t>$0.396–$0.477</t>
        </is>
      </c>
      <c r="P22" s="16" t="inlineStr">
        <is>
          <t>$0.332 → $0.097</t>
        </is>
      </c>
    </row>
    <row r="23">
      <c r="A23" s="8" t="inlineStr">
        <is>
          <t>Fiat 500</t>
        </is>
      </c>
      <c r="B23" s="9" t="inlineStr">
        <is>
          <t>▒</t>
        </is>
      </c>
      <c r="C23" s="9" t="inlineStr">
        <is>
          <t>▒</t>
        </is>
      </c>
      <c r="D23" s="9" t="inlineStr">
        <is>
          <t>▒</t>
        </is>
      </c>
      <c r="E23" s="9" t="inlineStr">
        <is>
          <t>▒</t>
        </is>
      </c>
      <c r="F23" s="9" t="inlineStr">
        <is>
          <t>▒</t>
        </is>
      </c>
      <c r="G23" s="10">
        <f>0.45103+0.094602*'Ranking (hardened)'!$F$24/10200</f>
        <v/>
      </c>
      <c r="H23" s="11">
        <f>0.4914+0.112782*'Ranking (hardened)'!$F$24/10200</f>
        <v/>
      </c>
      <c r="I23" s="9" t="inlineStr">
        <is>
          <t>▒</t>
        </is>
      </c>
      <c r="J23" s="9" t="inlineStr">
        <is>
          <t>▒</t>
        </is>
      </c>
      <c r="K23" s="12" t="inlineStr">
        <is>
          <t>↓ 100k · ≈2018</t>
        </is>
      </c>
      <c r="L23" s="13" t="inlineStr">
        <is>
          <t>◆ 40k · ≈2019 · $10,200</t>
        </is>
      </c>
      <c r="M23" s="14">
        <f>0.35714+0.085071*'Ranking (hardened)'!$F$24/10200</f>
        <v/>
      </c>
      <c r="N23" s="18" t="n">
        <v>3</v>
      </c>
      <c r="O23" s="16" t="inlineStr">
        <is>
          <t>$0.409–$0.496</t>
        </is>
      </c>
      <c r="P23" s="16" t="inlineStr">
        <is>
          <t>$0.035 → $0.026</t>
        </is>
      </c>
    </row>
    <row r="24">
      <c r="A24" s="8" t="inlineStr">
        <is>
          <t>Honda CR-V</t>
        </is>
      </c>
      <c r="B24" s="11">
        <f>0.26686+0.13449*'Ranking (hardened)'!$F$25/20500</f>
        <v/>
      </c>
      <c r="C24" s="11">
        <f>0.27439+0.135407*'Ranking (hardened)'!$F$25/20500</f>
        <v/>
      </c>
      <c r="D24" s="11">
        <f>0.28897+0.126113*'Ranking (hardened)'!$F$25/20500</f>
        <v/>
      </c>
      <c r="E24" s="11">
        <f>0.30214+0.121884*'Ranking (hardened)'!$F$25/20500</f>
        <v/>
      </c>
      <c r="F24" s="10">
        <f>0.31835+0.124611*'Ranking (hardened)'!$F$25/20500</f>
        <v/>
      </c>
      <c r="G24" s="11">
        <f>0.37734+0.128114*'Ranking (hardened)'!$F$25/20500</f>
        <v/>
      </c>
      <c r="H24" s="11">
        <f>0.40007+0.13278*'Ranking (hardened)'!$F$25/20500</f>
        <v/>
      </c>
      <c r="I24" s="11">
        <f>0.38336+0.145225*'Ranking (hardened)'!$F$25/20500</f>
        <v/>
      </c>
      <c r="J24" s="11">
        <f>0.40085+0.173554*'Ranking (hardened)'!$F$25/20500</f>
        <v/>
      </c>
      <c r="K24" s="12" t="inlineStr">
        <is>
          <t>↓ 10k · ≈2025</t>
        </is>
      </c>
      <c r="L24" s="13" t="inlineStr">
        <is>
          <t>◆ 75k · ≈2020 · $20,500</t>
        </is>
      </c>
      <c r="M24" s="14">
        <f>0.31464+0.123867*'Ranking (hardened)'!$F$25/20500</f>
        <v/>
      </c>
      <c r="N24" s="18" t="n">
        <v>3</v>
      </c>
      <c r="O24" s="16" t="inlineStr">
        <is>
          <t>$0.400–$0.480</t>
        </is>
      </c>
      <c r="P24" s="16" t="inlineStr">
        <is>
          <t>$0.312 → $0.064</t>
        </is>
      </c>
    </row>
    <row r="25">
      <c r="A25" s="8" t="inlineStr">
        <is>
          <t>VW ID.4 (AWD avail)</t>
        </is>
      </c>
      <c r="B25" s="11">
        <f>0.26709+0.162162*'Ranking (hardened)'!$F$26/22500</f>
        <v/>
      </c>
      <c r="C25" s="11">
        <f>0.27233+0.16*'Ranking (hardened)'!$F$26/22500</f>
        <v/>
      </c>
      <c r="D25" s="10">
        <f>0.28599+0.148387*'Ranking (hardened)'!$F$26/22500</f>
        <v/>
      </c>
      <c r="E25" s="11">
        <f>0.32399+0.155556*'Ranking (hardened)'!$F$26/22500</f>
        <v/>
      </c>
      <c r="F25" s="9" t="inlineStr">
        <is>
          <t>▒</t>
        </is>
      </c>
      <c r="G25" s="9" t="inlineStr">
        <is>
          <t>▒</t>
        </is>
      </c>
      <c r="H25" s="9" t="inlineStr">
        <is>
          <t>▒</t>
        </is>
      </c>
      <c r="I25" s="9" t="inlineStr">
        <is>
          <t>▒</t>
        </is>
      </c>
      <c r="J25" s="9" t="inlineStr">
        <is>
          <t>▒</t>
        </is>
      </c>
      <c r="K25" s="12" t="inlineStr">
        <is>
          <t>↓ 10k · ≈2025</t>
        </is>
      </c>
      <c r="L25" s="13" t="inlineStr">
        <is>
          <t>◆ 45k · ≈2023 · $22,500</t>
        </is>
      </c>
      <c r="M25" s="14">
        <f>0.29271+0.15*'Ranking (hardened)'!$F$26/22500</f>
        <v/>
      </c>
      <c r="N25" s="18" t="n">
        <v>3</v>
      </c>
      <c r="O25" s="16" t="inlineStr">
        <is>
          <t>$0.389–$0.529</t>
        </is>
      </c>
      <c r="P25" s="16" t="inlineStr">
        <is>
          <t>$0.263 → $0.159</t>
        </is>
      </c>
    </row>
    <row r="26">
      <c r="A26" s="8" t="inlineStr">
        <is>
          <t>Toyota RAV4 Prime</t>
        </is>
      </c>
      <c r="B26" s="11">
        <f>0.22684+0.186418*'Ranking (hardened)'!$F$27/35000</f>
        <v/>
      </c>
      <c r="C26" s="11">
        <f>0.23238+0.190432*'Ranking (hardened)'!$F$27/35000</f>
        <v/>
      </c>
      <c r="D26" s="11">
        <f>0.23982+0.189452*'Ranking (hardened)'!$F$27/35000</f>
        <v/>
      </c>
      <c r="E26" s="10">
        <f>0.26381+0.195855*'Ranking (hardened)'!$F$27/35000</f>
        <v/>
      </c>
      <c r="F26" s="9" t="inlineStr">
        <is>
          <t>▒</t>
        </is>
      </c>
      <c r="G26" s="9" t="inlineStr">
        <is>
          <t>▒</t>
        </is>
      </c>
      <c r="H26" s="9" t="inlineStr">
        <is>
          <t>▒</t>
        </is>
      </c>
      <c r="I26" s="9" t="inlineStr">
        <is>
          <t>▒</t>
        </is>
      </c>
      <c r="J26" s="9" t="inlineStr">
        <is>
          <t>▒</t>
        </is>
      </c>
      <c r="K26" s="12" t="inlineStr">
        <is>
          <t>↓ 10k · ≈2025</t>
        </is>
      </c>
      <c r="L26" s="13" t="inlineStr">
        <is>
          <t>◆ 55k · ≈2022 · $35,000</t>
        </is>
      </c>
      <c r="M26" s="14">
        <f>0.24778+0.194121*'Ranking (hardened)'!$F$27/35000</f>
        <v/>
      </c>
      <c r="N26" s="18" t="n">
        <v>3</v>
      </c>
      <c r="O26" s="16" t="inlineStr">
        <is>
          <t>$0.402–$0.484</t>
        </is>
      </c>
      <c r="P26" s="16" t="inlineStr">
        <is>
          <t>$0.416 → $0.292</t>
        </is>
      </c>
    </row>
    <row r="27">
      <c r="A27" s="8" t="inlineStr">
        <is>
          <t>Kia Soul</t>
        </is>
      </c>
      <c r="B27" s="11">
        <f>0.2868+0.126002*'Ranking (hardened)'!$F$28/14500</f>
        <v/>
      </c>
      <c r="C27" s="11">
        <f>0.29493+0.123092*'Ranking (hardened)'!$F$28/14500</f>
        <v/>
      </c>
      <c r="D27" s="11">
        <f>0.31221+0.114108*'Ranking (hardened)'!$F$28/14500</f>
        <v/>
      </c>
      <c r="E27" s="10">
        <f>0.32682+0.116372*'Ranking (hardened)'!$F$28/14500</f>
        <v/>
      </c>
      <c r="F27" s="11">
        <f>0.36584+0.119503*'Ranking (hardened)'!$F$28/14500</f>
        <v/>
      </c>
      <c r="G27" s="11">
        <f>0.36289+0.124113*'Ranking (hardened)'!$F$28/14500</f>
        <v/>
      </c>
      <c r="H27" s="11">
        <f>0.38085+0.131579*'Ranking (hardened)'!$F$28/14500</f>
        <v/>
      </c>
      <c r="I27" s="11">
        <f>0.42533+0.179604*'Ranking (hardened)'!$F$28/14500</f>
        <v/>
      </c>
      <c r="J27" s="9" t="inlineStr">
        <is>
          <t>▒</t>
        </is>
      </c>
      <c r="K27" s="12" t="inlineStr">
        <is>
          <t>↓ 10k · ≈2025</t>
        </is>
      </c>
      <c r="L27" s="13" t="inlineStr">
        <is>
          <t>◆ 60k · ≈2021 · $14,500</t>
        </is>
      </c>
      <c r="M27" s="14">
        <f>0.32682+0.116372*'Ranking (hardened)'!$F$28/14500</f>
        <v/>
      </c>
      <c r="N27" s="18" t="n">
        <v>3</v>
      </c>
      <c r="O27" s="16" t="inlineStr">
        <is>
          <t>$0.406–$0.494</t>
        </is>
      </c>
      <c r="P27" s="16" t="inlineStr">
        <is>
          <t>$0.187 → $0.035</t>
        </is>
      </c>
    </row>
    <row r="28">
      <c r="A28" s="8" t="inlineStr">
        <is>
          <t>VW Passat</t>
        </is>
      </c>
      <c r="B28" s="9" t="inlineStr">
        <is>
          <t>▒</t>
        </is>
      </c>
      <c r="C28" s="9" t="inlineStr">
        <is>
          <t>▒</t>
        </is>
      </c>
      <c r="D28" s="9" t="inlineStr">
        <is>
          <t>▒</t>
        </is>
      </c>
      <c r="E28" s="10">
        <f>0.35502+0.104777*'Ranking (hardened)'!$F$29/14200</f>
        <v/>
      </c>
      <c r="F28" s="11">
        <f>0.37334+0.104736*'Ranking (hardened)'!$F$29/14200</f>
        <v/>
      </c>
      <c r="G28" s="11">
        <f>0.39384+0.107381*'Ranking (hardened)'!$F$29/14200</f>
        <v/>
      </c>
      <c r="H28" s="11">
        <f>0.40994+0.117683*'Ranking (hardened)'!$F$29/14200</f>
        <v/>
      </c>
      <c r="I28" s="11">
        <f>0.41646+0.152548*'Ranking (hardened)'!$F$29/14200</f>
        <v/>
      </c>
      <c r="J28" s="9" t="inlineStr">
        <is>
          <t>▒</t>
        </is>
      </c>
      <c r="K28" s="12" t="inlineStr">
        <is>
          <t>↓ 60k · ≈2021</t>
        </is>
      </c>
      <c r="L28" s="13" t="inlineStr">
        <is>
          <t>◆ 55k · ≈2022 · $14,200</t>
        </is>
      </c>
      <c r="M28" s="14">
        <f>0.34606+0.105341*'Ranking (hardened)'!$F$29/14200</f>
        <v/>
      </c>
      <c r="N28" s="19" t="n">
        <v>4</v>
      </c>
      <c r="O28" s="16" t="inlineStr">
        <is>
          <t>$0.412–$0.507</t>
        </is>
      </c>
      <c r="P28" s="16" t="inlineStr">
        <is>
          <t>$0.101 → $0.035</t>
        </is>
      </c>
    </row>
    <row r="29">
      <c r="A29" s="8" t="inlineStr">
        <is>
          <t>Buick Encore</t>
        </is>
      </c>
      <c r="B29" s="11">
        <f>0.29909+0.120846*'Ranking (hardened)'!$F$30/14800</f>
        <v/>
      </c>
      <c r="C29" s="11">
        <f>0.30803+0.123473*'Ranking (hardened)'!$F$30/14800</f>
        <v/>
      </c>
      <c r="D29" s="10">
        <f>0.32656+0.118081*'Ranking (hardened)'!$F$30/14800</f>
        <v/>
      </c>
      <c r="E29" s="11">
        <f>0.34619+0.117749*'Ranking (hardened)'!$F$30/14800</f>
        <v/>
      </c>
      <c r="F29" s="11">
        <f>0.36053+0.120419*'Ranking (hardened)'!$F$30/14800</f>
        <v/>
      </c>
      <c r="G29" s="11">
        <f>0.37754+0.126932*'Ranking (hardened)'!$F$30/14800</f>
        <v/>
      </c>
      <c r="H29" s="11">
        <f>0.39436+0.142643*'Ranking (hardened)'!$F$30/14800</f>
        <v/>
      </c>
      <c r="I29" s="11">
        <f>0.38774+0.212418*'Ranking (hardened)'!$F$30/14800</f>
        <v/>
      </c>
      <c r="J29" s="9" t="inlineStr">
        <is>
          <t>▒</t>
        </is>
      </c>
      <c r="K29" s="12" t="inlineStr">
        <is>
          <t>↓ 10k · ≈2025</t>
        </is>
      </c>
      <c r="L29" s="13" t="inlineStr">
        <is>
          <t>◆ 50k · ≈2022 · $14,800</t>
        </is>
      </c>
      <c r="M29" s="14">
        <f>0.33631+0.117928*'Ranking (hardened)'!$F$30/14800</f>
        <v/>
      </c>
      <c r="N29" s="19" t="n">
        <v>4</v>
      </c>
      <c r="O29" s="16" t="inlineStr">
        <is>
          <t>$0.419–$0.499</t>
        </is>
      </c>
      <c r="P29" s="16" t="inlineStr">
        <is>
          <t>$0.165 → $0.030</t>
        </is>
      </c>
    </row>
    <row r="30">
      <c r="A30" s="8" t="inlineStr">
        <is>
          <t>Hyundai Kona</t>
        </is>
      </c>
      <c r="B30" s="11">
        <f>0.28665+0.137457*'Ranking (hardened)'!$F$31/15000</f>
        <v/>
      </c>
      <c r="C30" s="11">
        <f>0.29584+0.139733*'Ranking (hardened)'!$F$31/15000</f>
        <v/>
      </c>
      <c r="D30" s="11">
        <f>0.31274+0.131397*'Ranking (hardened)'!$F$31/15000</f>
        <v/>
      </c>
      <c r="E30" s="10">
        <f>0.32914+0.126806*'Ranking (hardened)'!$F$31/15000</f>
        <v/>
      </c>
      <c r="F30" s="11">
        <f>0.34724+0.129063*'Ranking (hardened)'!$F$31/15000</f>
        <v/>
      </c>
      <c r="G30" s="11">
        <f>0.39379+0.135934*'Ranking (hardened)'!$F$31/15000</f>
        <v/>
      </c>
      <c r="H30" s="9" t="inlineStr">
        <is>
          <t>▒</t>
        </is>
      </c>
      <c r="I30" s="9" t="inlineStr">
        <is>
          <t>▒</t>
        </is>
      </c>
      <c r="J30" s="9" t="inlineStr">
        <is>
          <t>▒</t>
        </is>
      </c>
      <c r="K30" s="12" t="inlineStr">
        <is>
          <t>↓ 10k · ≈2025</t>
        </is>
      </c>
      <c r="L30" s="13" t="inlineStr">
        <is>
          <t>◆ 65k · ≈2021 · $15,000</t>
        </is>
      </c>
      <c r="M30" s="14">
        <f>0.33293+0.125418*'Ranking (hardened)'!$F$31/15000</f>
        <v/>
      </c>
      <c r="N30" s="19" t="n">
        <v>4</v>
      </c>
      <c r="O30" s="16" t="inlineStr">
        <is>
          <t>$0.423–$0.504</t>
        </is>
      </c>
      <c r="P30" s="16" t="inlineStr">
        <is>
          <t>$0.204 → $0.075</t>
        </is>
      </c>
    </row>
    <row r="31">
      <c r="A31" s="8" t="inlineStr">
        <is>
          <t>Mazda CX-5</t>
        </is>
      </c>
      <c r="B31" s="11">
        <f>0.28425+0.141809*'Ranking (hardened)'!$F$32/20600</f>
        <v/>
      </c>
      <c r="C31" s="11">
        <f>0.29216+0.143959*'Ranking (hardened)'!$F$32/20600</f>
        <v/>
      </c>
      <c r="D31" s="11">
        <f>0.3074+0.137536*'Ranking (hardened)'!$F$32/20600</f>
        <v/>
      </c>
      <c r="E31" s="10">
        <f>0.32085+0.137217*'Ranking (hardened)'!$F$32/20600</f>
        <v/>
      </c>
      <c r="F31" s="11">
        <f>0.33642+0.137546*'Ranking (hardened)'!$F$32/20600</f>
        <v/>
      </c>
      <c r="G31" s="11">
        <f>0.35779+0.136827*'Ranking (hardened)'!$F$32/20600</f>
        <v/>
      </c>
      <c r="H31" s="11">
        <f>0.36711+0.137566*'Ranking (hardened)'!$F$32/20600</f>
        <v/>
      </c>
      <c r="I31" s="11">
        <f>0.40607+0.166667*'Ranking (hardened)'!$F$32/20600</f>
        <v/>
      </c>
      <c r="J31" s="9" t="inlineStr">
        <is>
          <t>▒</t>
        </is>
      </c>
      <c r="K31" s="12" t="inlineStr">
        <is>
          <t>↓ 10k · ≈2025</t>
        </is>
      </c>
      <c r="L31" s="13" t="inlineStr">
        <is>
          <t>◆ 65k · ≈2021 · $20,600</t>
        </is>
      </c>
      <c r="M31" s="14">
        <f>0.32463+0.137793*'Ranking (hardened)'!$F$32/20600</f>
        <v/>
      </c>
      <c r="N31" s="19" t="n">
        <v>4</v>
      </c>
      <c r="O31" s="16" t="inlineStr">
        <is>
          <t>$0.427–$0.505</t>
        </is>
      </c>
      <c r="P31" s="16" t="inlineStr">
        <is>
          <t>$0.269 → $0.066</t>
        </is>
      </c>
    </row>
    <row r="32">
      <c r="A32" s="8" t="inlineStr">
        <is>
          <t>Toyota Highlander Hybrid</t>
        </is>
      </c>
      <c r="B32" s="11">
        <f>0.25617+0.183447*'Ranking (hardened)'!$F$33/32000</f>
        <v/>
      </c>
      <c r="C32" s="11">
        <f>0.2635+0.186275*'Ranking (hardened)'!$F$33/32000</f>
        <v/>
      </c>
      <c r="D32" s="11">
        <f>0.2777+0.181018*'Ranking (hardened)'!$F$33/32000</f>
        <v/>
      </c>
      <c r="E32" s="10">
        <f>0.29029+0.178959*'Ranking (hardened)'!$F$33/32000</f>
        <v/>
      </c>
      <c r="F32" s="11">
        <f>0.32199+0.176399*'Ranking (hardened)'!$F$33/32000</f>
        <v/>
      </c>
      <c r="G32" s="11">
        <f>0.32249+0.175439*'Ranking (hardened)'!$F$33/32000</f>
        <v/>
      </c>
      <c r="H32" s="11">
        <f>0.33938+0.176849*'Ranking (hardened)'!$F$33/32000</f>
        <v/>
      </c>
      <c r="I32" s="11">
        <f>0.36172+0.180085*'Ranking (hardened)'!$F$33/32000</f>
        <v/>
      </c>
      <c r="J32" s="11">
        <f>0.38535+0.205745*'Ranking (hardened)'!$F$33/32000</f>
        <v/>
      </c>
      <c r="K32" s="12" t="inlineStr">
        <is>
          <t>↓ 10k · ≈2025</t>
        </is>
      </c>
      <c r="L32" s="13" t="inlineStr">
        <is>
          <t>◆ 65k · ≈2021 · $32,000</t>
        </is>
      </c>
      <c r="M32" s="14">
        <f>0.29392+0.178372*'Ranking (hardened)'!$F$33/32000</f>
        <v/>
      </c>
      <c r="N32" s="19" t="n">
        <v>4</v>
      </c>
      <c r="O32" s="16" t="inlineStr">
        <is>
          <t>$0.425–$0.524</t>
        </is>
      </c>
      <c r="P32" s="16" t="inlineStr">
        <is>
          <t>$0.438 → $0.082</t>
        </is>
      </c>
    </row>
    <row r="33">
      <c r="A33" s="8" t="inlineStr">
        <is>
          <t>Subaru Outback</t>
        </is>
      </c>
      <c r="B33" s="11">
        <f>0.28367+0.159521*'Ranking (hardened)'!$F$34/18800</f>
        <v/>
      </c>
      <c r="C33" s="11">
        <f>0.29235+0.160021*'Ranking (hardened)'!$F$34/18800</f>
        <v/>
      </c>
      <c r="D33" s="11">
        <f>0.30799+0.143611*'Ranking (hardened)'!$F$34/18800</f>
        <v/>
      </c>
      <c r="E33" s="11">
        <f>0.32314+0.138778*'Ranking (hardened)'!$F$34/18800</f>
        <v/>
      </c>
      <c r="F33" s="10">
        <f>0.3405+0.139357*'Ranking (hardened)'!$F$34/18800</f>
        <v/>
      </c>
      <c r="G33" s="11">
        <f>0.36783+0.144665*'Ranking (hardened)'!$F$34/18800</f>
        <v/>
      </c>
      <c r="H33" s="11">
        <f>0.38743+0.152318*'Ranking (hardened)'!$F$34/18800</f>
        <v/>
      </c>
      <c r="I33" s="11">
        <f>0.46688+0.178218*'Ranking (hardened)'!$F$34/18800</f>
        <v/>
      </c>
      <c r="J33" s="11">
        <f>0.43223+0.281046*'Ranking (hardened)'!$F$34/18800</f>
        <v/>
      </c>
      <c r="K33" s="12" t="inlineStr">
        <is>
          <t>↓ 10k · ≈2025</t>
        </is>
      </c>
      <c r="L33" s="13" t="inlineStr">
        <is>
          <t>◆ 75k · ≈2020 · $18,800</t>
        </is>
      </c>
      <c r="M33" s="14">
        <f>0.337+0.138643*'Ranking (hardened)'!$F$34/18800</f>
        <v/>
      </c>
      <c r="N33" s="19" t="n">
        <v>4</v>
      </c>
      <c r="O33" s="16" t="inlineStr">
        <is>
          <t>$0.432–$0.538</t>
        </is>
      </c>
      <c r="P33" s="16" t="inlineStr">
        <is>
          <t>$0.294 → $0.049</t>
        </is>
      </c>
    </row>
    <row r="34">
      <c r="A34" s="8" t="inlineStr">
        <is>
          <t>Subaru Forester</t>
        </is>
      </c>
      <c r="B34" s="11">
        <f>0.28754+0.152471*'Ranking (hardened)'!$F$35/22200</f>
        <v/>
      </c>
      <c r="C34" s="11">
        <f>0.29644+0.155383*'Ranking (hardened)'!$F$35/22200</f>
        <v/>
      </c>
      <c r="D34" s="11">
        <f>0.31281+0.149813*'Ranking (hardened)'!$F$35/22200</f>
        <v/>
      </c>
      <c r="E34" s="10">
        <f>0.32847+0.154066*'Ranking (hardened)'!$F$35/22200</f>
        <v/>
      </c>
      <c r="F34" s="11">
        <f>0.34614+0.166389*'Ranking (hardened)'!$F$35/22200</f>
        <v/>
      </c>
      <c r="G34" s="11">
        <f>0.37379+0.182136*'Ranking (hardened)'!$F$35/22200</f>
        <v/>
      </c>
      <c r="H34" s="11">
        <f>0.39163+0.19015*'Ranking (hardened)'!$F$35/22200</f>
        <v/>
      </c>
      <c r="I34" s="11">
        <f>0.46595+0.229084*'Ranking (hardened)'!$F$35/22200</f>
        <v/>
      </c>
      <c r="J34" s="11">
        <f>0.33705+0.442794*'Ranking (hardened)'!$F$35/22200</f>
        <v/>
      </c>
      <c r="K34" s="12" t="inlineStr">
        <is>
          <t>↓ 10k · ≈2025</t>
        </is>
      </c>
      <c r="L34" s="13" t="inlineStr">
        <is>
          <t>◆ 55k · ≈2022 · $22,200</t>
        </is>
      </c>
      <c r="M34" s="14">
        <f>0.32222+0.152893*'Ranking (hardened)'!$F$35/22200</f>
        <v/>
      </c>
      <c r="N34" s="19" t="n">
        <v>4</v>
      </c>
      <c r="O34" s="16" t="inlineStr">
        <is>
          <t>$0.439–$0.523</t>
        </is>
      </c>
      <c r="P34" s="16" t="inlineStr">
        <is>
          <t>$0.258 → $0.049</t>
        </is>
      </c>
    </row>
    <row r="35">
      <c r="A35" s="8" t="inlineStr">
        <is>
          <t>Toyota Sienna Hybrid</t>
        </is>
      </c>
      <c r="B35" s="11">
        <f>0.25138+0.187713*'Ranking (hardened)'!$F$36/35000</f>
        <v/>
      </c>
      <c r="C35" s="11">
        <f>0.25891+0.190508*'Ranking (hardened)'!$F$36/35000</f>
        <v/>
      </c>
      <c r="D35" s="11">
        <f>0.27374+0.18591*'Ranking (hardened)'!$F$36/35000</f>
        <v/>
      </c>
      <c r="E35" s="10">
        <f>0.29085+0.184382*'Ranking (hardened)'!$F$36/35000</f>
        <v/>
      </c>
      <c r="F35" s="9" t="inlineStr">
        <is>
          <t>▒</t>
        </is>
      </c>
      <c r="G35" s="9" t="inlineStr">
        <is>
          <t>▒</t>
        </is>
      </c>
      <c r="H35" s="9" t="inlineStr">
        <is>
          <t>▒</t>
        </is>
      </c>
      <c r="I35" s="9" t="inlineStr">
        <is>
          <t>▒</t>
        </is>
      </c>
      <c r="J35" s="9" t="inlineStr">
        <is>
          <t>▒</t>
        </is>
      </c>
      <c r="K35" s="12" t="inlineStr">
        <is>
          <t>↓ 10k · ≈2025</t>
        </is>
      </c>
      <c r="L35" s="13" t="inlineStr">
        <is>
          <t>◆ 55k · ≈2022 · $35,000</t>
        </is>
      </c>
      <c r="M35" s="14">
        <f>0.28603+0.184794*'Ranking (hardened)'!$F$36/35000</f>
        <v/>
      </c>
      <c r="N35" s="19" t="n">
        <v>4</v>
      </c>
      <c r="O35" s="16" t="inlineStr">
        <is>
          <t>$0.416–$0.525</t>
        </is>
      </c>
      <c r="P35" s="16" t="inlineStr">
        <is>
          <t>$0.448 → $0.297</t>
        </is>
      </c>
    </row>
    <row r="36">
      <c r="A36" s="8" t="inlineStr">
        <is>
          <t>Toyota Tacoma</t>
        </is>
      </c>
      <c r="B36" s="11">
        <f>0.29764+0.146481*'Ranking (hardened)'!$F$37/29333</f>
        <v/>
      </c>
      <c r="C36" s="11">
        <f>0.30457+0.143263*'Ranking (hardened)'!$F$37/29333</f>
        <v/>
      </c>
      <c r="D36" s="11">
        <f>0.31869+0.136054*'Ranking (hardened)'!$F$37/29333</f>
        <v/>
      </c>
      <c r="E36" s="11">
        <f>0.33158+0.136291*'Ranking (hardened)'!$F$37/29333</f>
        <v/>
      </c>
      <c r="F36" s="10">
        <f>0.34705+0.136573*'Ranking (hardened)'!$F$37/29333</f>
        <v/>
      </c>
      <c r="G36" s="11">
        <f>0.36387+0.136914*'Ranking (hardened)'!$F$37/29333</f>
        <v/>
      </c>
      <c r="H36" s="11">
        <f>0.38532+0.137336*'Ranking (hardened)'!$F$37/29333</f>
        <v/>
      </c>
      <c r="I36" s="11">
        <f>0.40434+0.138194*'Ranking (hardened)'!$F$37/29333</f>
        <v/>
      </c>
      <c r="J36" s="11">
        <f>0.42587+0.145587*'Ranking (hardened)'!$F$37/29333</f>
        <v/>
      </c>
      <c r="K36" s="12" t="inlineStr">
        <is>
          <t>↓ 10k · ≈2025</t>
        </is>
      </c>
      <c r="L36" s="13" t="inlineStr">
        <is>
          <t>◆ 75k · ≈2020 · $29,333</t>
        </is>
      </c>
      <c r="M36" s="14">
        <f>0.34342+0.136498*'Ranking (hardened)'!$F$37/29333</f>
        <v/>
      </c>
      <c r="N36" s="19" t="n">
        <v>4</v>
      </c>
      <c r="O36" s="16" t="inlineStr">
        <is>
          <t>$0.440–$0.531</t>
        </is>
      </c>
      <c r="P36" s="16" t="inlineStr">
        <is>
          <t>$0.482 → $0.112</t>
        </is>
      </c>
    </row>
    <row r="37">
      <c r="A37" s="8" t="inlineStr">
        <is>
          <t>Nissan Rogue</t>
        </is>
      </c>
      <c r="B37" s="11">
        <f>0.29397+0.168434*'Ranking (hardened)'!$F$38/18800</f>
        <v/>
      </c>
      <c r="C37" s="11">
        <f>0.30318+0.170326*'Ranking (hardened)'!$F$38/18800</f>
        <v/>
      </c>
      <c r="D37" s="11">
        <f>0.3182+0.153492*'Ranking (hardened)'!$F$38/18800</f>
        <v/>
      </c>
      <c r="E37" s="10">
        <f>0.33568+0.166818*'Ranking (hardened)'!$F$38/18800</f>
        <v/>
      </c>
      <c r="F37" s="11">
        <f>0.37189+0.172757*'Ranking (hardened)'!$F$38/18800</f>
        <v/>
      </c>
      <c r="G37" s="11">
        <f>0.42966+0.177809*'Ranking (hardened)'!$F$38/18800</f>
        <v/>
      </c>
      <c r="H37" s="11">
        <f>0.45221+0.202783*'Ranking (hardened)'!$F$38/18800</f>
        <v/>
      </c>
      <c r="I37" s="11">
        <f>0.36726+0.369458*'Ranking (hardened)'!$F$38/18800</f>
        <v/>
      </c>
      <c r="J37" s="9" t="inlineStr">
        <is>
          <t>▒</t>
        </is>
      </c>
      <c r="K37" s="12" t="inlineStr">
        <is>
          <t>↓ 10k · ≈2025</t>
        </is>
      </c>
      <c r="L37" s="13" t="inlineStr">
        <is>
          <t>◆ 55k · ≈2022 · $18,800</t>
        </is>
      </c>
      <c r="M37" s="14">
        <f>0.32801+0.163053*'Ranking (hardened)'!$F$38/18800</f>
        <v/>
      </c>
      <c r="N37" s="19" t="n">
        <v>4</v>
      </c>
      <c r="O37" s="16" t="inlineStr">
        <is>
          <t>$0.451–$0.541</t>
        </is>
      </c>
      <c r="P37" s="16" t="inlineStr">
        <is>
          <t>$0.219 → $0.041</t>
        </is>
      </c>
    </row>
    <row r="38">
      <c r="A38" s="8" t="inlineStr">
        <is>
          <t>Chevy Equinox</t>
        </is>
      </c>
      <c r="B38" s="11">
        <f>0.31135+0.151057*'Ranking (hardened)'!$F$39/17200</f>
        <v/>
      </c>
      <c r="C38" s="11">
        <f>0.32162+0.153055*'Ranking (hardened)'!$F$39/17200</f>
        <v/>
      </c>
      <c r="D38" s="11">
        <f>0.33912+0.140221*'Ranking (hardened)'!$F$39/17200</f>
        <v/>
      </c>
      <c r="E38" s="10">
        <f>0.35802+0.143723*'Ranking (hardened)'!$F$39/17200</f>
        <v/>
      </c>
      <c r="F38" s="11">
        <f>0.40063+0.158564*'Ranking (hardened)'!$F$39/17200</f>
        <v/>
      </c>
      <c r="G38" s="11">
        <f>0.43188+0.18543*'Ranking (hardened)'!$F$39/17200</f>
        <v/>
      </c>
      <c r="H38" s="11">
        <f>0.41867+0.198198*'Ranking (hardened)'!$F$39/17200</f>
        <v/>
      </c>
      <c r="I38" s="11">
        <f>0.37242+0.303922*'Ranking (hardened)'!$F$39/17200</f>
        <v/>
      </c>
      <c r="J38" s="9" t="inlineStr">
        <is>
          <t>▒</t>
        </is>
      </c>
      <c r="K38" s="12" t="inlineStr">
        <is>
          <t>↓ 10k · ≈2025</t>
        </is>
      </c>
      <c r="L38" s="13" t="inlineStr">
        <is>
          <t>◆ 55k · ≈2022 · $17,200</t>
        </is>
      </c>
      <c r="M38" s="14">
        <f>0.34983+0.142739*'Ranking (hardened)'!$F$39/17200</f>
        <v/>
      </c>
      <c r="N38" s="20" t="n">
        <v>5</v>
      </c>
      <c r="O38" s="16" t="inlineStr">
        <is>
          <t>$0.455–$0.546</t>
        </is>
      </c>
      <c r="P38" s="16" t="inlineStr">
        <is>
          <t>$0.206 → $0.043</t>
        </is>
      </c>
    </row>
    <row r="39">
      <c r="A39" s="8" t="inlineStr">
        <is>
          <t>Toyota Sienna (V6)</t>
        </is>
      </c>
      <c r="B39" s="9" t="inlineStr">
        <is>
          <t>▒</t>
        </is>
      </c>
      <c r="C39" s="9" t="inlineStr">
        <is>
          <t>▒</t>
        </is>
      </c>
      <c r="D39" s="9" t="inlineStr">
        <is>
          <t>▒</t>
        </is>
      </c>
      <c r="E39" s="9" t="inlineStr">
        <is>
          <t>▒</t>
        </is>
      </c>
      <c r="F39" s="10">
        <f>0.38606+0.123682*'Ranking (hardened)'!$F$40/22333</f>
        <v/>
      </c>
      <c r="G39" s="11">
        <f>0.40839+0.122345*'Ranking (hardened)'!$F$40/22333</f>
        <v/>
      </c>
      <c r="H39" s="11">
        <f>0.44641+0.120579*'Ranking (hardened)'!$F$40/22333</f>
        <v/>
      </c>
      <c r="I39" s="11">
        <f>0.46542+0.127119*'Ranking (hardened)'!$F$40/22333</f>
        <v/>
      </c>
      <c r="J39" s="11">
        <f>0.49857+0.139752*'Ranking (hardened)'!$F$40/22333</f>
        <v/>
      </c>
      <c r="K39" s="12" t="inlineStr">
        <is>
          <t>↓ 80k · ≈2020</t>
        </is>
      </c>
      <c r="L39" s="13" t="inlineStr">
        <is>
          <t>◆ 65k · ≈2020 · $22,333</t>
        </is>
      </c>
      <c r="M39" s="14">
        <f>0.37071+0.124489*'Ranking (hardened)'!$F$40/22333</f>
        <v/>
      </c>
      <c r="N39" s="20" t="n">
        <v>5</v>
      </c>
      <c r="O39" s="16" t="inlineStr">
        <is>
          <t>$0.457–$0.533</t>
        </is>
      </c>
      <c r="P39" s="16" t="inlineStr">
        <is>
          <t>$0.167 → $0.056</t>
        </is>
      </c>
    </row>
    <row r="40">
      <c r="A40" s="8" t="inlineStr">
        <is>
          <t>Mini Cooper</t>
        </is>
      </c>
      <c r="B40" s="11">
        <f>0.31558+0.145015*'Ranking (hardened)'!$F$41/18200</f>
        <v/>
      </c>
      <c r="C40" s="11">
        <f>0.32715+0.14791*'Ranking (hardened)'!$F$41/18200</f>
        <v/>
      </c>
      <c r="D40" s="10">
        <f>0.34956+0.140221*'Ranking (hardened)'!$F$41/18200</f>
        <v/>
      </c>
      <c r="E40" s="11">
        <f>0.37643+0.136797*'Ranking (hardened)'!$F$41/18200</f>
        <v/>
      </c>
      <c r="F40" s="11">
        <f>0.40169+0.136126*'Ranking (hardened)'!$F$41/18200</f>
        <v/>
      </c>
      <c r="G40" s="11">
        <f>0.4223+0.139073*'Ranking (hardened)'!$F$41/18200</f>
        <v/>
      </c>
      <c r="H40" s="11">
        <f>0.45057+0.153153*'Ranking (hardened)'!$F$41/18200</f>
        <v/>
      </c>
      <c r="I40" s="11">
        <f>0.44344+0.243697*'Ranking (hardened)'!$F$41/18200</f>
        <v/>
      </c>
      <c r="J40" s="9" t="inlineStr">
        <is>
          <t>▒</t>
        </is>
      </c>
      <c r="K40" s="12" t="inlineStr">
        <is>
          <t>↓ 10k · ≈2025</t>
        </is>
      </c>
      <c r="L40" s="13" t="inlineStr">
        <is>
          <t>◆ 45k · ≈2023 · $18,200</t>
        </is>
      </c>
      <c r="M40" s="14">
        <f>0.35712+0.139464*'Ranking (hardened)'!$F$41/18200</f>
        <v/>
      </c>
      <c r="N40" s="20" t="n">
        <v>5</v>
      </c>
      <c r="O40" s="16" t="inlineStr">
        <is>
          <t>$0.451–$0.566</t>
        </is>
      </c>
      <c r="P40" s="16" t="inlineStr">
        <is>
          <t>$0.198 → $0.035</t>
        </is>
      </c>
    </row>
    <row r="41">
      <c r="A41" s="8" t="inlineStr">
        <is>
          <t>Ford Ranger (old compact)</t>
        </is>
      </c>
      <c r="B41" s="9" t="inlineStr">
        <is>
          <t>▒</t>
        </is>
      </c>
      <c r="C41" s="9" t="inlineStr">
        <is>
          <t>▒</t>
        </is>
      </c>
      <c r="D41" s="9" t="inlineStr">
        <is>
          <t>▒</t>
        </is>
      </c>
      <c r="E41" s="9" t="inlineStr">
        <is>
          <t>▒</t>
        </is>
      </c>
      <c r="F41" s="9" t="inlineStr">
        <is>
          <t>▒</t>
        </is>
      </c>
      <c r="G41" s="9" t="inlineStr">
        <is>
          <t>▒</t>
        </is>
      </c>
      <c r="H41" s="9" t="inlineStr">
        <is>
          <t>▒</t>
        </is>
      </c>
      <c r="I41" s="9" t="inlineStr">
        <is>
          <t>▒</t>
        </is>
      </c>
      <c r="J41" s="9" t="inlineStr">
        <is>
          <t>▒</t>
        </is>
      </c>
      <c r="K41" s="12" t="inlineStr">
        <is>
          <t>—</t>
        </is>
      </c>
      <c r="L41" s="13" t="inlineStr">
        <is>
          <t>◆ 55k · ≈2011 · $11,500</t>
        </is>
      </c>
      <c r="M41" s="14">
        <f>0.42824+0.0721*'Ranking (hardened)'!$F$42/11500</f>
        <v/>
      </c>
      <c r="N41" s="20" t="n">
        <v>5</v>
      </c>
      <c r="O41" s="16" t="inlineStr">
        <is>
          <t>$0.467–$0.547</t>
        </is>
      </c>
      <c r="P41" s="16" t="inlineStr">
        <is>
          <t>—</t>
        </is>
      </c>
    </row>
    <row r="42">
      <c r="A42" s="8" t="inlineStr">
        <is>
          <t>Fiat 500X</t>
        </is>
      </c>
      <c r="B42" s="9" t="inlineStr">
        <is>
          <t>▒</t>
        </is>
      </c>
      <c r="C42" s="9" t="inlineStr">
        <is>
          <t>▒</t>
        </is>
      </c>
      <c r="D42" s="10">
        <f>0.3705+0.13516*'Ranking (hardened)'!$F$43/14800</f>
        <v/>
      </c>
      <c r="E42" s="11">
        <f>0.39803+0.136313*'Ranking (hardened)'!$F$43/14800</f>
        <v/>
      </c>
      <c r="F42" s="11">
        <f>0.41002+0.143885*'Ranking (hardened)'!$F$43/14800</f>
        <v/>
      </c>
      <c r="G42" s="11">
        <f>0.46875+0.163636*'Ranking (hardened)'!$F$43/14800</f>
        <v/>
      </c>
      <c r="H42" s="11">
        <f>0.47554+0.220339*'Ranking (hardened)'!$F$43/14800</f>
        <v/>
      </c>
      <c r="I42" s="9" t="inlineStr">
        <is>
          <t>▒</t>
        </is>
      </c>
      <c r="J42" s="9" t="inlineStr">
        <is>
          <t>▒</t>
        </is>
      </c>
      <c r="K42" s="12" t="inlineStr">
        <is>
          <t>↓ 40k · ≈2023</t>
        </is>
      </c>
      <c r="L42" s="13" t="inlineStr">
        <is>
          <t>◆ 40k · ≈2023 · $14,800</t>
        </is>
      </c>
      <c r="M42" s="14">
        <f>0.3705+0.13516*'Ranking (hardened)'!$F$43/14800</f>
        <v/>
      </c>
      <c r="N42" s="20" t="n">
        <v>5</v>
      </c>
      <c r="O42" s="16" t="inlineStr">
        <is>
          <t>$0.475–$0.549</t>
        </is>
      </c>
      <c r="P42" s="16" t="inlineStr">
        <is>
          <t>$0.104 → $0.037</t>
        </is>
      </c>
    </row>
    <row r="43">
      <c r="A43" s="8" t="inlineStr">
        <is>
          <t>VW GTI</t>
        </is>
      </c>
      <c r="B43" s="11">
        <f>0.31201+0.156757*'Ranking (hardened)'!$F$44/19000</f>
        <v/>
      </c>
      <c r="C43" s="11">
        <f>0.3228+0.158857*'Ranking (hardened)'!$F$44/19000</f>
        <v/>
      </c>
      <c r="D43" s="11">
        <f>0.34288+0.148387*'Ranking (hardened)'!$F$44/19000</f>
        <v/>
      </c>
      <c r="E43" s="10">
        <f>0.36768+0.140741*'Ranking (hardened)'!$F$44/19000</f>
        <v/>
      </c>
      <c r="F43" s="11">
        <f>0.39048+0.13913*'Ranking (hardened)'!$F$44/19000</f>
        <v/>
      </c>
      <c r="G43" s="11">
        <f>0.41175+0.140351*'Ranking (hardened)'!$F$44/19000</f>
        <v/>
      </c>
      <c r="H43" s="11">
        <f>0.43707+0.142222*'Ranking (hardened)'!$F$44/19000</f>
        <v/>
      </c>
      <c r="I43" s="9" t="inlineStr">
        <is>
          <t>▒</t>
        </is>
      </c>
      <c r="J43" s="9" t="inlineStr">
        <is>
          <t>▒</t>
        </is>
      </c>
      <c r="K43" s="12" t="inlineStr">
        <is>
          <t>↓ 10k · ≈2025</t>
        </is>
      </c>
      <c r="L43" s="13" t="inlineStr">
        <is>
          <t>◆ 60k · ≈2021 · $19,000</t>
        </is>
      </c>
      <c r="M43" s="14">
        <f>0.36768+0.140741*'Ranking (hardened)'!$F$44/19000</f>
        <v/>
      </c>
      <c r="N43" s="20" t="n">
        <v>5</v>
      </c>
      <c r="O43" s="16" t="inlineStr">
        <is>
          <t>$0.464–$0.574</t>
        </is>
      </c>
      <c r="P43" s="16" t="inlineStr">
        <is>
          <t>$0.254 → $0.068</t>
        </is>
      </c>
    </row>
    <row r="44">
      <c r="A44" s="8" t="inlineStr">
        <is>
          <t>Kia Sportage</t>
        </is>
      </c>
      <c r="B44" s="11">
        <f>0.30826+0.154639*'Ranking (hardened)'!$F$45/15667</f>
        <v/>
      </c>
      <c r="C44" s="11">
        <f>0.31776+0.157959*'Ranking (hardened)'!$F$45/15667</f>
        <v/>
      </c>
      <c r="D44" s="11">
        <f>0.33148+0.152144*'Ranking (hardened)'!$F$45/15667</f>
        <v/>
      </c>
      <c r="E44" s="11">
        <f>0.35162+0.144462*'Ranking (hardened)'!$F$45/15667</f>
        <v/>
      </c>
      <c r="F44" s="10">
        <f>0.36942+0.143403*'Ranking (hardened)'!$F$45/15667</f>
        <v/>
      </c>
      <c r="G44" s="11">
        <f>0.39697+0.147754*'Ranking (hardened)'!$F$45/15667</f>
        <v/>
      </c>
      <c r="H44" s="11">
        <f>0.4363+0.162539*'Ranking (hardened)'!$F$45/15667</f>
        <v/>
      </c>
      <c r="I44" s="11">
        <f>0.40313+0.227085*'Ranking (hardened)'!$F$45/15667</f>
        <v/>
      </c>
      <c r="J44" s="9" t="inlineStr">
        <is>
          <t>▒</t>
        </is>
      </c>
      <c r="K44" s="12" t="inlineStr">
        <is>
          <t>↓ 10k · ≈2025</t>
        </is>
      </c>
      <c r="L44" s="13" t="inlineStr">
        <is>
          <t>◆ 75k · ≈2020 · $15,667</t>
        </is>
      </c>
      <c r="M44" s="14">
        <f>0.36603+0.142944*'Ranking (hardened)'!$F$45/15667</f>
        <v/>
      </c>
      <c r="N44" s="20" t="n">
        <v>5</v>
      </c>
      <c r="O44" s="16" t="inlineStr">
        <is>
          <t>$0.468–$0.571</t>
        </is>
      </c>
      <c r="P44" s="16" t="inlineStr">
        <is>
          <t>$0.229 → $0.045</t>
        </is>
      </c>
    </row>
    <row r="45">
      <c r="A45" s="8" t="inlineStr">
        <is>
          <t>Ford Escape</t>
        </is>
      </c>
      <c r="B45" s="11">
        <f>0.31795+0.162196*'Ranking (hardened)'!$F$46/15000</f>
        <v/>
      </c>
      <c r="C45" s="11">
        <f>0.32982+0.163007*'Ranking (hardened)'!$F$46/15000</f>
        <v/>
      </c>
      <c r="D45" s="11">
        <f>0.34565+0.14198*'Ranking (hardened)'!$F$46/15000</f>
        <v/>
      </c>
      <c r="E45" s="10">
        <f>0.36222+0.142339*'Ranking (hardened)'!$F$46/15000</f>
        <v/>
      </c>
      <c r="F45" s="11">
        <f>0.40539+0.146179*'Ranking (hardened)'!$F$46/15000</f>
        <v/>
      </c>
      <c r="G45" s="11">
        <f>0.40098+0.152916*'Ranking (hardened)'!$F$46/15000</f>
        <v/>
      </c>
      <c r="H45" s="11">
        <f>0.41666+0.168986*'Ranking (hardened)'!$F$46/15000</f>
        <v/>
      </c>
      <c r="I45" s="11">
        <f>0.41656+0.320197*'Ranking (hardened)'!$F$46/15000</f>
        <v/>
      </c>
      <c r="J45" s="9" t="inlineStr">
        <is>
          <t>▒</t>
        </is>
      </c>
      <c r="K45" s="12" t="inlineStr">
        <is>
          <t>↓ 10k · ≈2025</t>
        </is>
      </c>
      <c r="L45" s="13" t="inlineStr">
        <is>
          <t>◆ 65k · ≈2021 · $15,000</t>
        </is>
      </c>
      <c r="M45" s="14">
        <f>0.367+0.14245*'Ranking (hardened)'!$F$46/15000</f>
        <v/>
      </c>
      <c r="N45" s="20" t="n">
        <v>5</v>
      </c>
      <c r="O45" s="16" t="inlineStr">
        <is>
          <t>$0.462–$0.574</t>
        </is>
      </c>
      <c r="P45" s="16" t="inlineStr">
        <is>
          <t>$0.211 → $0.036</t>
        </is>
      </c>
    </row>
    <row r="46">
      <c r="A46" s="8" t="inlineStr">
        <is>
          <t>Toyota Highlander</t>
        </is>
      </c>
      <c r="B46" s="11">
        <f>0.29747+0.170648*'Ranking (hardened)'!$F$47/25000</f>
        <v/>
      </c>
      <c r="C46" s="11">
        <f>0.30557+0.172906*'Ranking (hardened)'!$F$47/25000</f>
        <v/>
      </c>
      <c r="D46" s="11">
        <f>0.32135+0.166341*'Ranking (hardened)'!$F$47/25000</f>
        <v/>
      </c>
      <c r="E46" s="11">
        <f>0.33556+0.16269*'Ranking (hardened)'!$F$47/25000</f>
        <v/>
      </c>
      <c r="F46" s="10">
        <f>0.36889+0.158151*'Ranking (hardened)'!$F$47/25000</f>
        <v/>
      </c>
      <c r="G46" s="11">
        <f>0.371+0.154663*'Ranking (hardened)'!$F$47/25000</f>
        <v/>
      </c>
      <c r="H46" s="11">
        <f>0.3894+0.152733*'Ranking (hardened)'!$F$47/25000</f>
        <v/>
      </c>
      <c r="I46" s="11">
        <f>0.41421+0.158898*'Ranking (hardened)'!$F$47/25000</f>
        <v/>
      </c>
      <c r="J46" s="11">
        <f>0.43888+0.186335*'Ranking (hardened)'!$F$47/25000</f>
        <v/>
      </c>
      <c r="K46" s="12" t="inlineStr">
        <is>
          <t>↓ 10k · ≈2025</t>
        </is>
      </c>
      <c r="L46" s="13" t="inlineStr">
        <is>
          <t>◆ 85k · ≈2019 · $25,000</t>
        </is>
      </c>
      <c r="M46" s="14">
        <f>0.3575+0.156838*'Ranking (hardened)'!$F$47/25000</f>
        <v/>
      </c>
      <c r="N46" s="20" t="n">
        <v>5</v>
      </c>
      <c r="O46" s="16" t="inlineStr">
        <is>
          <t>$0.467–$0.571</t>
        </is>
      </c>
      <c r="P46" s="16" t="inlineStr">
        <is>
          <t>$0.407 → $0.074</t>
        </is>
      </c>
    </row>
    <row r="47">
      <c r="A47" s="8" t="inlineStr">
        <is>
          <t>Hyundai Tucson</t>
        </is>
      </c>
      <c r="B47" s="11">
        <f>0.31822+0.174672*'Ranking (hardened)'!$F$48/19541</f>
        <v/>
      </c>
      <c r="C47" s="11">
        <f>0.32815+0.176979*'Ranking (hardened)'!$F$48/19541</f>
        <v/>
      </c>
      <c r="D47" s="11">
        <f>0.34469+0.161167*'Ranking (hardened)'!$F$48/19541</f>
        <v/>
      </c>
      <c r="E47" s="10">
        <f>0.3633+0.172748*'Ranking (hardened)'!$F$48/19541</f>
        <v/>
      </c>
      <c r="F47" s="11">
        <f>0.38089+0.190107*'Ranking (hardened)'!$F$48/19541</f>
        <v/>
      </c>
      <c r="G47" s="11">
        <f>0.41119+0.221411*'Ranking (hardened)'!$F$48/19541</f>
        <v/>
      </c>
      <c r="H47" s="11">
        <f>0.42559+0.271313*'Ranking (hardened)'!$F$48/19541</f>
        <v/>
      </c>
      <c r="I47" s="11">
        <f>0.32513+0.431034*'Ranking (hardened)'!$F$48/19541</f>
        <v/>
      </c>
      <c r="J47" s="9" t="inlineStr">
        <is>
          <t>▒</t>
        </is>
      </c>
      <c r="K47" s="12" t="inlineStr">
        <is>
          <t>↓ 10k · ≈2025</t>
        </is>
      </c>
      <c r="L47" s="13" t="inlineStr">
        <is>
          <t>◆ 55k · ≈2022 · $19,541</t>
        </is>
      </c>
      <c r="M47" s="14">
        <f>0.35531+0.169476*'Ranking (hardened)'!$F$48/19541</f>
        <v/>
      </c>
      <c r="N47" s="20" t="n">
        <v>5</v>
      </c>
      <c r="O47" s="16" t="inlineStr">
        <is>
          <t>$0.491–$0.579</t>
        </is>
      </c>
      <c r="P47" s="16" t="inlineStr">
        <is>
          <t>$0.228 → $0.048</t>
        </is>
      </c>
    </row>
    <row r="48">
      <c r="A48" s="8" t="inlineStr">
        <is>
          <t>Toyota 4Runner</t>
        </is>
      </c>
      <c r="B48" s="11">
        <f>0.32411+0.157199*'Ranking (hardened)'!$F$49/36333</f>
        <v/>
      </c>
      <c r="C48" s="11">
        <f>0.32997+0.163023*'Ranking (hardened)'!$F$49/36333</f>
        <v/>
      </c>
      <c r="D48" s="11">
        <f>0.34624+0.160064*'Ranking (hardened)'!$F$49/36333</f>
        <v/>
      </c>
      <c r="E48" s="10">
        <f>0.36427+0.15804*'Ranking (hardened)'!$F$49/36333</f>
        <v/>
      </c>
      <c r="F48" s="11">
        <f>0.38238+0.157218*'Ranking (hardened)'!$F$49/36333</f>
        <v/>
      </c>
      <c r="G48" s="11">
        <f>0.40221+0.157978*'Ranking (hardened)'!$F$49/36333</f>
        <v/>
      </c>
      <c r="H48" s="11">
        <f>0.42242+0.158917*'Ranking (hardened)'!$F$49/36333</f>
        <v/>
      </c>
      <c r="I48" s="11">
        <f>0.45203+0.160829*'Ranking (hardened)'!$F$49/36333</f>
        <v/>
      </c>
      <c r="J48" s="11">
        <f>0.48096+0.168335*'Ranking (hardened)'!$F$49/36333</f>
        <v/>
      </c>
      <c r="K48" s="12" t="inlineStr">
        <is>
          <t>↓ 10k · ≈2025</t>
        </is>
      </c>
      <c r="L48" s="13" t="inlineStr">
        <is>
          <t>◆ 60k · ≈2021 · $36,333</t>
        </is>
      </c>
      <c r="M48" s="14">
        <f>0.36427+0.15804*'Ranking (hardened)'!$F$49/36333</f>
        <v/>
      </c>
      <c r="N48" s="20" t="n">
        <v>5</v>
      </c>
      <c r="O48" s="16" t="inlineStr">
        <is>
          <t>$0.473–$0.570</t>
        </is>
      </c>
      <c r="P48" s="16" t="inlineStr">
        <is>
          <t>$0.517 → $0.130</t>
        </is>
      </c>
    </row>
    <row r="49">
      <c r="A49" s="8" t="inlineStr">
        <is>
          <t>Honda Odyssey</t>
        </is>
      </c>
      <c r="B49" s="11">
        <f>0.31836+0.16752*'Ranking (hardened)'!$F$50/20333</f>
        <v/>
      </c>
      <c r="C49" s="11">
        <f>0.32881+0.175695*'Ranking (hardened)'!$F$50/20333</f>
        <v/>
      </c>
      <c r="D49" s="11">
        <f>0.34745+0.160087*'Ranking (hardened)'!$F$50/20333</f>
        <v/>
      </c>
      <c r="E49" s="11">
        <f>0.37012+0.147968*'Ranking (hardened)'!$F$50/20333</f>
        <v/>
      </c>
      <c r="F49" s="10">
        <f>0.38735+0.140327*'Ranking (hardened)'!$F$50/20333</f>
        <v/>
      </c>
      <c r="G49" s="11">
        <f>0.4376+0.136109*'Ranking (hardened)'!$F$50/20333</f>
        <v/>
      </c>
      <c r="H49" s="11">
        <f>0.44116+0.136638*'Ranking (hardened)'!$F$50/20333</f>
        <v/>
      </c>
      <c r="I49" s="11">
        <f>0.51002+0.143048*'Ranking (hardened)'!$F$50/20333</f>
        <v/>
      </c>
      <c r="J49" s="11">
        <f>0.52235+0.200445*'Ranking (hardened)'!$F$50/20333</f>
        <v/>
      </c>
      <c r="K49" s="12" t="inlineStr">
        <is>
          <t>↓ 10k · ≈2025</t>
        </is>
      </c>
      <c r="L49" s="13" t="inlineStr">
        <is>
          <t>◆ 80k · ≈2020 · $20,333</t>
        </is>
      </c>
      <c r="M49" s="14">
        <f>0.38735+0.140327*'Ranking (hardened)'!$F$50/20333</f>
        <v/>
      </c>
      <c r="N49" s="20" t="n">
        <v>5</v>
      </c>
      <c r="O49" s="16" t="inlineStr">
        <is>
          <t>$0.472–$0.580</t>
        </is>
      </c>
      <c r="P49" s="16" t="inlineStr">
        <is>
          <t>$0.345 → $0.053</t>
        </is>
      </c>
    </row>
    <row r="50">
      <c r="A50" s="8" t="inlineStr">
        <is>
          <t>Kia Sorento</t>
        </is>
      </c>
      <c r="B50" s="11">
        <f>0.3192+0.157729*'Ranking (hardened)'!$F$51/18333</f>
        <v/>
      </c>
      <c r="C50" s="11">
        <f>0.32958+0.166482*'Ranking (hardened)'!$F$51/18333</f>
        <v/>
      </c>
      <c r="D50" s="11">
        <f>0.34814+0.157303*'Ranking (hardened)'!$F$51/18333</f>
        <v/>
      </c>
      <c r="E50" s="11">
        <f>0.36606+0.149786*'Ranking (hardened)'!$F$51/18333</f>
        <v/>
      </c>
      <c r="F50" s="10">
        <f>0.38645+0.146977*'Ranking (hardened)'!$F$51/18333</f>
        <v/>
      </c>
      <c r="G50" s="11">
        <f>0.41763+0.149701*'Ranking (hardened)'!$F$51/18333</f>
        <v/>
      </c>
      <c r="H50" s="11">
        <f>0.44188+0.153782*'Ranking (hardened)'!$F$51/18333</f>
        <v/>
      </c>
      <c r="I50" s="11">
        <f>0.52948+0.179283*'Ranking (hardened)'!$F$51/18333</f>
        <v/>
      </c>
      <c r="J50" s="11">
        <f>0.49072+0.371287*'Ranking (hardened)'!$F$51/18333</f>
        <v/>
      </c>
      <c r="K50" s="12" t="inlineStr">
        <is>
          <t>↓ 10k · ≈2025</t>
        </is>
      </c>
      <c r="L50" s="13" t="inlineStr">
        <is>
          <t>◆ 75k · ≈2020 · $18,333</t>
        </is>
      </c>
      <c r="M50" s="14">
        <f>0.38214+0.146432*'Ranking (hardened)'!$F$51/18333</f>
        <v/>
      </c>
      <c r="N50" s="20" t="n">
        <v>5</v>
      </c>
      <c r="O50" s="16" t="inlineStr">
        <is>
          <t>$0.482–$0.586</t>
        </is>
      </c>
      <c r="P50" s="16" t="inlineStr">
        <is>
          <t>$0.267 → $0.041</t>
        </is>
      </c>
    </row>
    <row r="51">
      <c r="A51" s="8" t="inlineStr">
        <is>
          <t>Hyundai Santa Fe</t>
        </is>
      </c>
      <c r="B51" s="11">
        <f>0.31489+0.16129*'Ranking (hardened)'!$F$52/16667</f>
        <v/>
      </c>
      <c r="C51" s="11">
        <f>0.32501+0.170789*'Ranking (hardened)'!$F$52/16667</f>
        <v/>
      </c>
      <c r="D51" s="11">
        <f>0.34266+0.161549*'Ranking (hardened)'!$F$52/16667</f>
        <v/>
      </c>
      <c r="E51" s="11">
        <f>0.35962+0.154083*'Ranking (hardened)'!$F$52/16667</f>
        <v/>
      </c>
      <c r="F51" s="10">
        <f>0.37814+0.151791*'Ranking (hardened)'!$F$52/16667</f>
        <v/>
      </c>
      <c r="G51" s="11">
        <f>0.4069+0.155902*'Ranking (hardened)'!$F$52/16667</f>
        <v/>
      </c>
      <c r="H51" s="11">
        <f>0.42651+0.162369*'Ranking (hardened)'!$F$52/16667</f>
        <v/>
      </c>
      <c r="I51" s="11">
        <f>0.49336+0.208184*'Ranking (hardened)'!$F$52/16667</f>
        <v/>
      </c>
      <c r="J51" s="9" t="inlineStr">
        <is>
          <t>▒</t>
        </is>
      </c>
      <c r="K51" s="12" t="inlineStr">
        <is>
          <t>↓ 10k · ≈2025</t>
        </is>
      </c>
      <c r="L51" s="13" t="inlineStr">
        <is>
          <t>◆ 80k · ≈2020 · $16,667</t>
        </is>
      </c>
      <c r="M51" s="14">
        <f>0.37814+0.151791*'Ranking (hardened)'!$F$52/16667</f>
        <v/>
      </c>
      <c r="N51" s="20" t="n">
        <v>5</v>
      </c>
      <c r="O51" s="16" t="inlineStr">
        <is>
          <t>$0.487–$0.594</t>
        </is>
      </c>
      <c r="P51" s="16" t="inlineStr">
        <is>
          <t>$0.250 → $0.048</t>
        </is>
      </c>
    </row>
    <row r="52">
      <c r="A52" s="8" t="inlineStr">
        <is>
          <t>VW Tiguan</t>
        </is>
      </c>
      <c r="B52" s="11">
        <f>0.34097+0.148912*'Ranking (hardened)'!$F$53/16800</f>
        <v/>
      </c>
      <c r="C52" s="11">
        <f>0.35285+0.150668*'Ranking (hardened)'!$F$53/16800</f>
        <v/>
      </c>
      <c r="D52" s="11">
        <f>0.37522+0.138313*'Ranking (hardened)'!$F$53/16800</f>
        <v/>
      </c>
      <c r="E52" s="10">
        <f>0.39811+0.134831*'Ranking (hardened)'!$F$53/16800</f>
        <v/>
      </c>
      <c r="F52" s="11">
        <f>0.42406+0.133843*'Ranking (hardened)'!$F$53/16800</f>
        <v/>
      </c>
      <c r="G52" s="11">
        <f>0.48707+0.134752*'Ranking (hardened)'!$F$53/16800</f>
        <v/>
      </c>
      <c r="H52" s="9" t="inlineStr">
        <is>
          <t>▒</t>
        </is>
      </c>
      <c r="I52" s="9" t="inlineStr">
        <is>
          <t>▒</t>
        </is>
      </c>
      <c r="J52" s="9" t="inlineStr">
        <is>
          <t>▒</t>
        </is>
      </c>
      <c r="K52" s="12" t="inlineStr">
        <is>
          <t>↓ 10k · ≈2025</t>
        </is>
      </c>
      <c r="L52" s="13" t="inlineStr">
        <is>
          <t>◆ 60k · ≈2021 · $16,800</t>
        </is>
      </c>
      <c r="M52" s="14">
        <f>0.39811+0.134831*'Ranking (hardened)'!$F$53/16800</f>
        <v/>
      </c>
      <c r="N52" s="20" t="n">
        <v>5</v>
      </c>
      <c r="O52" s="16" t="inlineStr">
        <is>
          <t>$0.482–$0.590</t>
        </is>
      </c>
      <c r="P52" s="16" t="inlineStr">
        <is>
          <t>$0.221 → $0.075</t>
        </is>
      </c>
    </row>
    <row r="53">
      <c r="A53" s="8" t="inlineStr">
        <is>
          <t>Chrysler Pacifica PHEV</t>
        </is>
      </c>
      <c r="B53" s="11">
        <f>0.29469+0.205438*'Ranking (hardened)'!$F$54/22000</f>
        <v/>
      </c>
      <c r="C53" s="11">
        <f>0.30563+0.21865*'Ranking (hardened)'!$F$54/22000</f>
        <v/>
      </c>
      <c r="D53" s="11">
        <f>0.32285+0.20369*'Ranking (hardened)'!$F$54/22000</f>
        <v/>
      </c>
      <c r="E53" s="10">
        <f>0.34107+0.199134*'Ranking (hardened)'!$F$54/22000</f>
        <v/>
      </c>
      <c r="F53" s="11">
        <f>0.36564+0.202443*'Ranking (hardened)'!$F$54/22000</f>
        <v/>
      </c>
      <c r="G53" s="11">
        <f>0.45223+0.211921*'Ranking (hardened)'!$F$54/22000</f>
        <v/>
      </c>
      <c r="H53" s="11">
        <f>0.48374+0.24024*'Ranking (hardened)'!$F$54/22000</f>
        <v/>
      </c>
      <c r="I53" s="9" t="inlineStr">
        <is>
          <t>▒</t>
        </is>
      </c>
      <c r="J53" s="9" t="inlineStr">
        <is>
          <t>▒</t>
        </is>
      </c>
      <c r="K53" s="12" t="inlineStr">
        <is>
          <t>↓ 10k · ≈2025</t>
        </is>
      </c>
      <c r="L53" s="13" t="inlineStr">
        <is>
          <t>◆ 65k · ≈2021 · $22,000</t>
        </is>
      </c>
      <c r="M53" s="14">
        <f>0.34457+0.199095*'Ranking (hardened)'!$F$54/22000</f>
        <v/>
      </c>
      <c r="N53" s="21" t="n">
        <v>6</v>
      </c>
      <c r="O53" s="16" t="inlineStr">
        <is>
          <t>$0.494–$0.619</t>
        </is>
      </c>
      <c r="P53" s="16" t="inlineStr">
        <is>
          <t>$0.281 → $0.080</t>
        </is>
      </c>
    </row>
    <row r="54">
      <c r="A54" s="8" t="inlineStr">
        <is>
          <t>Subaru Ascent</t>
        </is>
      </c>
      <c r="B54" s="11">
        <f>0.3292+0.171821*'Ranking (hardened)'!$F$55/23400</f>
        <v/>
      </c>
      <c r="C54" s="11">
        <f>0.33589+0.18226*'Ranking (hardened)'!$F$55/23400</f>
        <v/>
      </c>
      <c r="D54" s="11">
        <f>0.35262+0.179806*'Ranking (hardened)'!$F$55/23400</f>
        <v/>
      </c>
      <c r="E54" s="10">
        <f>0.37703+0.18138*'Ranking (hardened)'!$F$55/23400</f>
        <v/>
      </c>
      <c r="F54" s="11">
        <f>0.40958+0.188018*'Ranking (hardened)'!$F$55/23400</f>
        <v/>
      </c>
      <c r="G54" s="9" t="inlineStr">
        <is>
          <t>▒</t>
        </is>
      </c>
      <c r="H54" s="9" t="inlineStr">
        <is>
          <t>▒</t>
        </is>
      </c>
      <c r="I54" s="9" t="inlineStr">
        <is>
          <t>▒</t>
        </is>
      </c>
      <c r="J54" s="9" t="inlineStr">
        <is>
          <t>▒</t>
        </is>
      </c>
      <c r="K54" s="12" t="inlineStr">
        <is>
          <t>↓ 10k · ≈2025</t>
        </is>
      </c>
      <c r="L54" s="13" t="inlineStr">
        <is>
          <t>◆ 55k · ≈2022 · $23,400</t>
        </is>
      </c>
      <c r="M54" s="14">
        <f>0.36608+0.180556*'Ranking (hardened)'!$F$55/23400</f>
        <v/>
      </c>
      <c r="N54" s="21" t="n">
        <v>6</v>
      </c>
      <c r="O54" s="16" t="inlineStr">
        <is>
          <t>$0.506–$0.594</t>
        </is>
      </c>
      <c r="P54" s="16" t="inlineStr">
        <is>
          <t>$0.254 → $0.136</t>
        </is>
      </c>
    </row>
    <row r="55">
      <c r="A55" s="8" t="inlineStr">
        <is>
          <t>Ford Ranger (2019+ midsize)</t>
        </is>
      </c>
      <c r="B55" s="11">
        <f>0.35494+0.189274*'Ranking (hardened)'!$F$56/23000</f>
        <v/>
      </c>
      <c r="C55" s="11">
        <f>0.36515+0.190529*'Ranking (hardened)'!$F$56/23000</f>
        <v/>
      </c>
      <c r="D55" s="11">
        <f>0.37816+0.164378*'Ranking (hardened)'!$F$56/23000</f>
        <v/>
      </c>
      <c r="E55" s="10">
        <f>0.39957+0.160485*'Ranking (hardened)'!$F$56/23000</f>
        <v/>
      </c>
      <c r="F55" s="11">
        <f>0.42469+0.170549*'Ranking (hardened)'!$F$56/23000</f>
        <v/>
      </c>
      <c r="G55" s="9" t="inlineStr">
        <is>
          <t>▒</t>
        </is>
      </c>
      <c r="H55" s="9" t="inlineStr">
        <is>
          <t>▒</t>
        </is>
      </c>
      <c r="I55" s="9" t="inlineStr">
        <is>
          <t>▒</t>
        </is>
      </c>
      <c r="J55" s="9" t="inlineStr">
        <is>
          <t>▒</t>
        </is>
      </c>
      <c r="K55" s="12" t="inlineStr">
        <is>
          <t>↓ 40k · ≈2023</t>
        </is>
      </c>
      <c r="L55" s="13" t="inlineStr">
        <is>
          <t>◆ 55k · ≈2022 · $23,000</t>
        </is>
      </c>
      <c r="M55" s="14">
        <f>0.39272+0.158402*'Ranking (hardened)'!$F$56/23000</f>
        <v/>
      </c>
      <c r="N55" s="21" t="n">
        <v>6</v>
      </c>
      <c r="O55" s="16" t="inlineStr">
        <is>
          <t>$0.513–$0.597</t>
        </is>
      </c>
      <c r="P55" s="16" t="inlineStr">
        <is>
          <t>$0.320 → $0.148</t>
        </is>
      </c>
    </row>
    <row r="56">
      <c r="A56" s="8" t="inlineStr">
        <is>
          <t>Honda Pilot</t>
        </is>
      </c>
      <c r="B56" s="11">
        <f>0.32537+0.176826*'Ranking (hardened)'!$F$57/22500</f>
        <v/>
      </c>
      <c r="C56" s="11">
        <f>0.33419+0.178624*'Ranking (hardened)'!$F$57/22500</f>
        <v/>
      </c>
      <c r="D56" s="11">
        <f>0.35113+0.167658*'Ranking (hardened)'!$F$57/22500</f>
        <v/>
      </c>
      <c r="E56" s="11">
        <f>0.37044+0.163736*'Ranking (hardened)'!$F$57/22500</f>
        <v/>
      </c>
      <c r="F56" s="10">
        <f>0.38903+0.161031*'Ranking (hardened)'!$F$57/22500</f>
        <v/>
      </c>
      <c r="G56" s="11">
        <f>0.4042+0.160128*'Ranking (hardened)'!$F$57/22500</f>
        <v/>
      </c>
      <c r="H56" s="11">
        <f>0.42862+0.165237*'Ranking (hardened)'!$F$57/22500</f>
        <v/>
      </c>
      <c r="I56" s="11">
        <f>0.44487+0.178015*'Ranking (hardened)'!$F$57/22500</f>
        <v/>
      </c>
      <c r="J56" s="11">
        <f>0.44553+0.222717*'Ranking (hardened)'!$F$57/22500</f>
        <v/>
      </c>
      <c r="K56" s="12" t="inlineStr">
        <is>
          <t>↓ 10k · ≈2025</t>
        </is>
      </c>
      <c r="L56" s="13" t="inlineStr">
        <is>
          <t>◆ 85k · ≈2019 · $22,500</t>
        </is>
      </c>
      <c r="M56" s="14">
        <f>0.39014+0.160829*'Ranking (hardened)'!$F$57/22500</f>
        <v/>
      </c>
      <c r="N56" s="21" t="n">
        <v>6</v>
      </c>
      <c r="O56" s="16" t="inlineStr">
        <is>
          <t>$0.507–$0.605</t>
        </is>
      </c>
      <c r="P56" s="16" t="inlineStr">
        <is>
          <t>$0.364 → $0.059</t>
        </is>
      </c>
    </row>
    <row r="57">
      <c r="A57" s="8" t="inlineStr">
        <is>
          <t>Mini Countryman</t>
        </is>
      </c>
      <c r="B57" s="11">
        <f>0.34484+0.169184*'Ranking (hardened)'!$F$58/19000</f>
        <v/>
      </c>
      <c r="C57" s="11">
        <f>0.35752+0.172347*'Ranking (hardened)'!$F$58/19000</f>
        <v/>
      </c>
      <c r="D57" s="11">
        <f>0.37959+0.162362*'Ranking (hardened)'!$F$58/19000</f>
        <v/>
      </c>
      <c r="E57" s="10">
        <f>0.40909+0.155844*'Ranking (hardened)'!$F$58/19000</f>
        <v/>
      </c>
      <c r="F57" s="11">
        <f>0.42576+0.157068*'Ranking (hardened)'!$F$58/19000</f>
        <v/>
      </c>
      <c r="G57" s="11">
        <f>0.45889+0.163355*'Ranking (hardened)'!$F$58/19000</f>
        <v/>
      </c>
      <c r="H57" s="11">
        <f>0.52977+0.174174*'Ranking (hardened)'!$F$58/19000</f>
        <v/>
      </c>
      <c r="I57" s="11">
        <f>0.45718+0.282913*'Ranking (hardened)'!$F$58/19000</f>
        <v/>
      </c>
      <c r="J57" s="9" t="inlineStr">
        <is>
          <t>▒</t>
        </is>
      </c>
      <c r="K57" s="12" t="inlineStr">
        <is>
          <t>↓ 10k · ≈2025</t>
        </is>
      </c>
      <c r="L57" s="13" t="inlineStr">
        <is>
          <t>◆ 55k · ≈2022 · $19,000</t>
        </is>
      </c>
      <c r="M57" s="14">
        <f>0.39849+0.157676*'Ranking (hardened)'!$F$58/19000</f>
        <v/>
      </c>
      <c r="N57" s="21" t="n">
        <v>6</v>
      </c>
      <c r="O57" s="16" t="inlineStr">
        <is>
          <t>$0.509–$0.628</t>
        </is>
      </c>
      <c r="P57" s="16" t="inlineStr">
        <is>
          <t>$0.231 → $0.040</t>
        </is>
      </c>
    </row>
    <row r="58">
      <c r="A58" s="8" t="inlineStr">
        <is>
          <t>Toyota Sequoia</t>
        </is>
      </c>
      <c r="B58" s="11">
        <f>0.34808+0.144678*'Ranking (hardened)'!$F$59/32250</f>
        <v/>
      </c>
      <c r="C58" s="11">
        <f>0.35716+0.149839*'Ranking (hardened)'!$F$59/32250</f>
        <v/>
      </c>
      <c r="D58" s="11">
        <f>0.37543+0.153669*'Ranking (hardened)'!$F$59/32250</f>
        <v/>
      </c>
      <c r="E58" s="11">
        <f>0.39138+0.149813*'Ranking (hardened)'!$F$59/32250</f>
        <v/>
      </c>
      <c r="F58" s="10">
        <f>0.41071+0.146391*'Ranking (hardened)'!$F$59/32250</f>
        <v/>
      </c>
      <c r="G58" s="11">
        <f>0.43185+0.143535*'Ranking (hardened)'!$F$59/32250</f>
        <v/>
      </c>
      <c r="H58" s="11">
        <f>0.45371+0.141431*'Ranking (hardened)'!$F$59/32250</f>
        <v/>
      </c>
      <c r="I58" s="11">
        <f>0.48673+0.139721*'Ranking (hardened)'!$F$59/32250</f>
        <v/>
      </c>
      <c r="J58" s="11">
        <f>0.52083+0.143392*'Ranking (hardened)'!$F$59/32250</f>
        <v/>
      </c>
      <c r="K58" s="12" t="inlineStr">
        <is>
          <t>↓ 10k · ≈2025</t>
        </is>
      </c>
      <c r="L58" s="13" t="inlineStr">
        <is>
          <t>◆ 80k · ≈2020 · $32,250</t>
        </is>
      </c>
      <c r="M58" s="14">
        <f>0.41071+0.146391*'Ranking (hardened)'!$F$59/32250</f>
        <v/>
      </c>
      <c r="N58" s="21" t="n">
        <v>6</v>
      </c>
      <c r="O58" s="16" t="inlineStr">
        <is>
          <t>$0.508–$0.613</t>
        </is>
      </c>
      <c r="P58" s="16" t="inlineStr">
        <is>
          <t>$0.511 → $0.125</t>
        </is>
      </c>
    </row>
    <row r="59">
      <c r="A59" s="8" t="inlineStr">
        <is>
          <t>Hyundai Palisade</t>
        </is>
      </c>
      <c r="B59" s="11">
        <f>0.33587+0.189274*'Ranking (hardened)'!$F$60/31000</f>
        <v/>
      </c>
      <c r="C59" s="11">
        <f>0.34282+0.199778*'Ranking (hardened)'!$F$60/31000</f>
        <v/>
      </c>
      <c r="D59" s="10">
        <f>0.36074+0.19975*'Ranking (hardened)'!$F$60/31000</f>
        <v/>
      </c>
      <c r="E59" s="11">
        <f>0.38628+0.199715*'Ranking (hardened)'!$F$60/31000</f>
        <v/>
      </c>
      <c r="F59" s="11">
        <f>0.42134+0.205214*'Ranking (hardened)'!$F$60/31000</f>
        <v/>
      </c>
      <c r="G59" s="9" t="inlineStr">
        <is>
          <t>▒</t>
        </is>
      </c>
      <c r="H59" s="9" t="inlineStr">
        <is>
          <t>▒</t>
        </is>
      </c>
      <c r="I59" s="9" t="inlineStr">
        <is>
          <t>▒</t>
        </is>
      </c>
      <c r="J59" s="9" t="inlineStr">
        <is>
          <t>▒</t>
        </is>
      </c>
      <c r="K59" s="12" t="inlineStr">
        <is>
          <t>↓ 10k · ≈2025</t>
        </is>
      </c>
      <c r="L59" s="13" t="inlineStr">
        <is>
          <t>◆ 45k · ≈2023 · $31,000</t>
        </is>
      </c>
      <c r="M59" s="14">
        <f>0.36693+0.199742*'Ranking (hardened)'!$F$60/31000</f>
        <v/>
      </c>
      <c r="N59" s="21" t="n">
        <v>6</v>
      </c>
      <c r="O59" s="16" t="inlineStr">
        <is>
          <t>$0.523–$0.617</t>
        </is>
      </c>
      <c r="P59" s="16" t="inlineStr">
        <is>
          <t>$0.320 → $0.178</t>
        </is>
      </c>
    </row>
    <row r="60">
      <c r="A60" s="8" t="inlineStr">
        <is>
          <t>Chrysler Pacifica</t>
        </is>
      </c>
      <c r="B60" s="11">
        <f>0.34308+0.181269*'Ranking (hardened)'!$F$61/16333</f>
        <v/>
      </c>
      <c r="C60" s="11">
        <f>0.35491+0.192926*'Ranking (hardened)'!$F$61/16333</f>
        <v/>
      </c>
      <c r="D60" s="11">
        <f>0.37393+0.17417*'Ranking (hardened)'!$F$61/16333</f>
        <v/>
      </c>
      <c r="E60" s="11">
        <f>0.39917+0.164502*'Ranking (hardened)'!$F$61/16333</f>
        <v/>
      </c>
      <c r="F60" s="10">
        <f>0.41405+0.164049*'Ranking (hardened)'!$F$61/16333</f>
        <v/>
      </c>
      <c r="G60" s="11">
        <f>0.50843+0.172185*'Ranking (hardened)'!$F$61/16333</f>
        <v/>
      </c>
      <c r="H60" s="11">
        <f>0.54085+0.198198*'Ranking (hardened)'!$F$61/16333</f>
        <v/>
      </c>
      <c r="I60" s="9" t="inlineStr">
        <is>
          <t>▒</t>
        </is>
      </c>
      <c r="J60" s="9" t="inlineStr">
        <is>
          <t>▒</t>
        </is>
      </c>
      <c r="K60" s="12" t="inlineStr">
        <is>
          <t>↓ 10k · ≈2025</t>
        </is>
      </c>
      <c r="L60" s="13" t="inlineStr">
        <is>
          <t>◆ 75k · ≈2020 · $16,333</t>
        </is>
      </c>
      <c r="M60" s="14">
        <f>0.41072+0.162521*'Ranking (hardened)'!$F$61/16333</f>
        <v/>
      </c>
      <c r="N60" s="21" t="n">
        <v>6</v>
      </c>
      <c r="O60" s="16" t="inlineStr">
        <is>
          <t>$0.527–$0.652</t>
        </is>
      </c>
      <c r="P60" s="16" t="inlineStr">
        <is>
          <t>$0.248 → $0.066</t>
        </is>
      </c>
    </row>
    <row r="61">
      <c r="A61" s="8" t="inlineStr">
        <is>
          <t>Chevy Colorado</t>
        </is>
      </c>
      <c r="B61" s="11">
        <f>0.36592+0.194473*'Ranking (hardened)'!$F$62/23500</f>
        <v/>
      </c>
      <c r="C61" s="11">
        <f>0.37544+0.18069*'Ranking (hardened)'!$F$62/23500</f>
        <v/>
      </c>
      <c r="D61" s="11">
        <f>0.3944+0.15921*'Ranking (hardened)'!$F$62/23500</f>
        <v/>
      </c>
      <c r="E61" s="10">
        <f>0.41287+0.161623*'Ranking (hardened)'!$F$62/23500</f>
        <v/>
      </c>
      <c r="F61" s="11">
        <f>0.43345+0.170122*'Ranking (hardened)'!$F$62/23500</f>
        <v/>
      </c>
      <c r="G61" s="11">
        <f>0.46363+0.177103*'Ranking (hardened)'!$F$62/23500</f>
        <v/>
      </c>
      <c r="H61" s="11">
        <f>0.48306+0.187354*'Ranking (hardened)'!$F$62/23500</f>
        <v/>
      </c>
      <c r="I61" s="9" t="inlineStr">
        <is>
          <t>▒</t>
        </is>
      </c>
      <c r="J61" s="9" t="inlineStr">
        <is>
          <t>▒</t>
        </is>
      </c>
      <c r="K61" s="12" t="inlineStr">
        <is>
          <t>↓ 40k · ≈2023</t>
        </is>
      </c>
      <c r="L61" s="13" t="inlineStr">
        <is>
          <t>◆ 60k · ≈2021 · $23,500</t>
        </is>
      </c>
      <c r="M61" s="14">
        <f>0.41287+0.161623*'Ranking (hardened)'!$F$62/23500</f>
        <v/>
      </c>
      <c r="N61" s="21" t="n">
        <v>6</v>
      </c>
      <c r="O61" s="16" t="inlineStr">
        <is>
          <t>$0.535–$0.627</t>
        </is>
      </c>
      <c r="P61" s="16" t="inlineStr">
        <is>
          <t>$0.343 → $0.105</t>
        </is>
      </c>
    </row>
    <row r="62">
      <c r="A62" s="8" t="inlineStr">
        <is>
          <t>Kia Telluride</t>
        </is>
      </c>
      <c r="B62" s="11">
        <f>0.3327+0.19979*'Ranking (hardened)'!$F$63/33000</f>
        <v/>
      </c>
      <c r="C62" s="11">
        <f>0.33925+0.210877*'Ranking (hardened)'!$F$63/33000</f>
        <v/>
      </c>
      <c r="D62" s="10">
        <f>0.35619+0.212235*'Ranking (hardened)'!$F$63/33000</f>
        <v/>
      </c>
      <c r="E62" s="11">
        <f>0.41703+0.21398*'Ranking (hardened)'!$F$63/33000</f>
        <v/>
      </c>
      <c r="F62" s="11">
        <f>0.43976+0.221852*'Ranking (hardened)'!$F$63/33000</f>
        <v/>
      </c>
      <c r="G62" s="9" t="inlineStr">
        <is>
          <t>▒</t>
        </is>
      </c>
      <c r="H62" s="9" t="inlineStr">
        <is>
          <t>▒</t>
        </is>
      </c>
      <c r="I62" s="9" t="inlineStr">
        <is>
          <t>▒</t>
        </is>
      </c>
      <c r="J62" s="9" t="inlineStr">
        <is>
          <t>▒</t>
        </is>
      </c>
      <c r="K62" s="12" t="inlineStr">
        <is>
          <t>↓ 10k · ≈2025</t>
        </is>
      </c>
      <c r="L62" s="13" t="inlineStr">
        <is>
          <t>◆ 45k · ≈2023 · $33,000</t>
        </is>
      </c>
      <c r="M62" s="14">
        <f>0.36209+0.212629*'Ranking (hardened)'!$F$63/33000</f>
        <v/>
      </c>
      <c r="N62" s="21" t="n">
        <v>6</v>
      </c>
      <c r="O62" s="16" t="inlineStr">
        <is>
          <t>$0.530–$0.624</t>
        </is>
      </c>
      <c r="P62" s="16" t="inlineStr">
        <is>
          <t>$0.338 → $0.193</t>
        </is>
      </c>
    </row>
    <row r="63">
      <c r="A63" s="8" t="inlineStr">
        <is>
          <t>Mazda CX-90</t>
        </is>
      </c>
      <c r="B63" s="11">
        <f>0.32207+0.236593*'Ranking (hardened)'!$F$64/38750</f>
        <v/>
      </c>
      <c r="C63" s="10">
        <f>0.3445+0.231225*'Ranking (hardened)'!$F$64/38750</f>
        <v/>
      </c>
      <c r="D63" s="9" t="inlineStr">
        <is>
          <t>▒</t>
        </is>
      </c>
      <c r="E63" s="9" t="inlineStr">
        <is>
          <t>▒</t>
        </is>
      </c>
      <c r="F63" s="9" t="inlineStr">
        <is>
          <t>▒</t>
        </is>
      </c>
      <c r="G63" s="9" t="inlineStr">
        <is>
          <t>▒</t>
        </is>
      </c>
      <c r="H63" s="9" t="inlineStr">
        <is>
          <t>▒</t>
        </is>
      </c>
      <c r="I63" s="9" t="inlineStr">
        <is>
          <t>▒</t>
        </is>
      </c>
      <c r="J63" s="9" t="inlineStr">
        <is>
          <t>▒</t>
        </is>
      </c>
      <c r="K63" s="12" t="inlineStr">
        <is>
          <t>↓ 10k · ≈2025</t>
        </is>
      </c>
      <c r="L63" s="13" t="inlineStr">
        <is>
          <t>◆ 30k · ≈2024 · $38,750</t>
        </is>
      </c>
      <c r="M63" s="14">
        <f>0.35551+0.227673*'Ranking (hardened)'!$F$64/38750</f>
        <v/>
      </c>
      <c r="N63" s="21" t="n">
        <v>6</v>
      </c>
      <c r="O63" s="16" t="inlineStr">
        <is>
          <t>$0.535–$0.632</t>
        </is>
      </c>
      <c r="P63" s="16" t="inlineStr">
        <is>
          <t>$0.400 → $0.359</t>
        </is>
      </c>
    </row>
    <row r="64">
      <c r="A64" s="8" t="inlineStr">
        <is>
          <t>Chevy Traverse</t>
        </is>
      </c>
      <c r="B64" s="11">
        <f>0.35043+0.183276*'Ranking (hardened)'!$F$65/20000</f>
        <v/>
      </c>
      <c r="C64" s="11">
        <f>0.36216+0.194411*'Ranking (hardened)'!$F$65/20000</f>
        <v/>
      </c>
      <c r="D64" s="11">
        <f>0.38176+0.182573*'Ranking (hardened)'!$F$65/20000</f>
        <v/>
      </c>
      <c r="E64" s="10">
        <f>0.40157+0.176565*'Ranking (hardened)'!$F$65/20000</f>
        <v/>
      </c>
      <c r="F64" s="11">
        <f>0.42227+0.178458*'Ranking (hardened)'!$F$65/20000</f>
        <v/>
      </c>
      <c r="G64" s="11">
        <f>0.47958+0.189125*'Ranking (hardened)'!$F$65/20000</f>
        <v/>
      </c>
      <c r="H64" s="9" t="inlineStr">
        <is>
          <t>▒</t>
        </is>
      </c>
      <c r="I64" s="9" t="inlineStr">
        <is>
          <t>▒</t>
        </is>
      </c>
      <c r="J64" s="9" t="inlineStr">
        <is>
          <t>▒</t>
        </is>
      </c>
      <c r="K64" s="12" t="inlineStr">
        <is>
          <t>↓ 10k · ≈2025</t>
        </is>
      </c>
      <c r="L64" s="13" t="inlineStr">
        <is>
          <t>◆ 70k · ≈2021 · $20,000</t>
        </is>
      </c>
      <c r="M64" s="14">
        <f>0.41459+0.17452*'Ranking (hardened)'!$F$65/20000</f>
        <v/>
      </c>
      <c r="N64" s="21" t="n">
        <v>6</v>
      </c>
      <c r="O64" s="16" t="inlineStr">
        <is>
          <t>$0.538–$0.659</t>
        </is>
      </c>
      <c r="P64" s="16" t="inlineStr">
        <is>
          <t>$0.271 → $0.105</t>
        </is>
      </c>
    </row>
    <row r="65">
      <c r="A65" s="8" t="inlineStr">
        <is>
          <t>VW Atlas</t>
        </is>
      </c>
      <c r="B65" s="11">
        <f>0.36242+0.177976*'Ranking (hardened)'!$F$66/21000</f>
        <v/>
      </c>
      <c r="C65" s="11">
        <f>0.37496+0.188457*'Ranking (hardened)'!$F$66/21000</f>
        <v/>
      </c>
      <c r="D65" s="11">
        <f>0.39267+0.176235*'Ranking (hardened)'!$F$66/21000</f>
        <v/>
      </c>
      <c r="E65" s="10">
        <f>0.41951+0.169492*'Ranking (hardened)'!$F$66/21000</f>
        <v/>
      </c>
      <c r="F65" s="11">
        <f>0.45072+0.16697*'Ranking (hardened)'!$F$66/21000</f>
        <v/>
      </c>
      <c r="G65" s="11">
        <f>0.50552+0.167038*'Ranking (hardened)'!$F$66/21000</f>
        <v/>
      </c>
      <c r="H65" s="9" t="inlineStr">
        <is>
          <t>▒</t>
        </is>
      </c>
      <c r="I65" s="9" t="inlineStr">
        <is>
          <t>▒</t>
        </is>
      </c>
      <c r="J65" s="9" t="inlineStr">
        <is>
          <t>▒</t>
        </is>
      </c>
      <c r="K65" s="12" t="inlineStr">
        <is>
          <t>↓ 10k · ≈2025</t>
        </is>
      </c>
      <c r="L65" s="13" t="inlineStr">
        <is>
          <t>◆ 65k · ≈2021 · $21,000</t>
        </is>
      </c>
      <c r="M65" s="14">
        <f>0.42487+0.168269*'Ranking (hardened)'!$F$66/21000</f>
        <v/>
      </c>
      <c r="N65" s="21" t="n">
        <v>6</v>
      </c>
      <c r="O65" s="16" t="inlineStr">
        <is>
          <t>$0.543–$0.656</t>
        </is>
      </c>
      <c r="P65" s="16" t="inlineStr">
        <is>
          <t>$0.276 → $0.100</t>
        </is>
      </c>
    </row>
    <row r="66">
      <c r="A66" s="8" t="inlineStr">
        <is>
          <t>Ford Explorer</t>
        </is>
      </c>
      <c r="B66" s="11">
        <f>0.35105+0.189003*'Ranking (hardened)'!$F$67/21000</f>
        <v/>
      </c>
      <c r="C66" s="11">
        <f>0.36264+0.200486*'Ranking (hardened)'!$F$67/21000</f>
        <v/>
      </c>
      <c r="D66" s="11">
        <f>0.38186+0.189488*'Ranking (hardened)'!$F$67/21000</f>
        <v/>
      </c>
      <c r="E66" s="10">
        <f>0.40112+0.184591*'Ranking (hardened)'!$F$67/21000</f>
        <v/>
      </c>
      <c r="F66" s="11">
        <f>0.44564+0.184831*'Ranking (hardened)'!$F$67/21000</f>
        <v/>
      </c>
      <c r="G66" s="11">
        <f>0.44597+0.189125*'Ranking (hardened)'!$F$67/21000</f>
        <v/>
      </c>
      <c r="H66" s="11">
        <f>0.47288+0.206398*'Ranking (hardened)'!$F$67/21000</f>
        <v/>
      </c>
      <c r="I66" s="11">
        <f>0.4419+0.297275*'Ranking (hardened)'!$F$67/21000</f>
        <v/>
      </c>
      <c r="J66" s="9" t="inlineStr">
        <is>
          <t>▒</t>
        </is>
      </c>
      <c r="K66" s="12" t="inlineStr">
        <is>
          <t>↓ 10k · ≈2025</t>
        </is>
      </c>
      <c r="L66" s="13" t="inlineStr">
        <is>
          <t>◆ 70k · ≈2021 · $21,000</t>
        </is>
      </c>
      <c r="M66" s="14">
        <f>0.41377+0.183246*'Ranking (hardened)'!$F$67/21000</f>
        <v/>
      </c>
      <c r="N66" s="21" t="n">
        <v>6</v>
      </c>
      <c r="O66" s="16" t="inlineStr">
        <is>
          <t>$0.542–$0.667</t>
        </is>
      </c>
      <c r="P66" s="16" t="inlineStr">
        <is>
          <t>$0.280 → $0.059</t>
        </is>
      </c>
    </row>
    <row r="67">
      <c r="A67" s="8" t="inlineStr">
        <is>
          <t>Buick Enclave</t>
        </is>
      </c>
      <c r="B67" s="11">
        <f>0.35258+0.194731*'Ranking (hardened)'!$F$68/16667</f>
        <v/>
      </c>
      <c r="C67" s="11">
        <f>0.36378+0.206561*'Ranking (hardened)'!$F$68/16667</f>
        <v/>
      </c>
      <c r="D67" s="11">
        <f>0.3827+0.190871*'Ranking (hardened)'!$F$68/16667</f>
        <v/>
      </c>
      <c r="E67" s="11">
        <f>0.40087+0.179775*'Ranking (hardened)'!$F$68/16667</f>
        <v/>
      </c>
      <c r="F67" s="10">
        <f>0.42048+0.175271*'Ranking (hardened)'!$F$68/16667</f>
        <v/>
      </c>
      <c r="G67" s="11">
        <f>0.46973+0.177305*'Ranking (hardened)'!$F$68/16667</f>
        <v/>
      </c>
      <c r="H67" s="11">
        <f>0.46966+0.190918*'Ranking (hardened)'!$F$68/16667</f>
        <v/>
      </c>
      <c r="I67" s="11">
        <f>0.45515+0.260116*'Ranking (hardened)'!$F$68/16667</f>
        <v/>
      </c>
      <c r="J67" s="9" t="inlineStr">
        <is>
          <t>▒</t>
        </is>
      </c>
      <c r="K67" s="12" t="inlineStr">
        <is>
          <t>↓ 10k · ≈2025</t>
        </is>
      </c>
      <c r="L67" s="13" t="inlineStr">
        <is>
          <t>◆ 90k · ≈2019 · $16,667</t>
        </is>
      </c>
      <c r="M67" s="14">
        <f>0.43191+0.17618*'Ranking (hardened)'!$F$68/16667</f>
        <v/>
      </c>
      <c r="N67" s="22" t="n">
        <v>7</v>
      </c>
      <c r="O67" s="16" t="inlineStr">
        <is>
          <t>$0.553–$0.684</t>
        </is>
      </c>
      <c r="P67" s="16" t="inlineStr">
        <is>
          <t>$0.288 → $0.051</t>
        </is>
      </c>
    </row>
    <row r="68">
      <c r="A68" s="8" t="inlineStr">
        <is>
          <t>Volvo XC60</t>
        </is>
      </c>
      <c r="B68" s="11">
        <f>0.37026+0.19979*'Ranking (hardened)'!$F$69/25200</f>
        <v/>
      </c>
      <c r="C68" s="11">
        <f>0.38396+0.210877*'Ranking (hardened)'!$F$69/25200</f>
        <v/>
      </c>
      <c r="D68" s="11">
        <f>0.40841+0.197253*'Ranking (hardened)'!$F$69/25200</f>
        <v/>
      </c>
      <c r="E68" s="10">
        <f>0.43144+0.188302*'Ranking (hardened)'!$F$69/25200</f>
        <v/>
      </c>
      <c r="F68" s="11">
        <f>0.45851+0.183028*'Ranking (hardened)'!$F$69/25200</f>
        <v/>
      </c>
      <c r="G68" s="11">
        <f>0.52907+0.179641*'Ranking (hardened)'!$F$69/25200</f>
        <v/>
      </c>
      <c r="H68" s="9" t="inlineStr">
        <is>
          <t>▒</t>
        </is>
      </c>
      <c r="I68" s="9" t="inlineStr">
        <is>
          <t>▒</t>
        </is>
      </c>
      <c r="J68" s="9" t="inlineStr">
        <is>
          <t>▒</t>
        </is>
      </c>
      <c r="K68" s="12" t="inlineStr">
        <is>
          <t>↓ 10k · ≈2025</t>
        </is>
      </c>
      <c r="L68" s="13" t="inlineStr">
        <is>
          <t>◆ 65k · ≈2021 · $25,200</t>
        </is>
      </c>
      <c r="M68" s="14">
        <f>0.43731+0.186391*'Ranking (hardened)'!$F$69/25200</f>
        <v/>
      </c>
      <c r="N68" s="22" t="n">
        <v>7</v>
      </c>
      <c r="O68" s="16" t="inlineStr">
        <is>
          <t>$0.566–$0.690</t>
        </is>
      </c>
      <c r="P68" s="16" t="inlineStr">
        <is>
          <t>$0.338 → $0.123</t>
        </is>
      </c>
    </row>
    <row r="69">
      <c r="A69" s="8" t="inlineStr">
        <is>
          <t>Chevy Tahoe</t>
        </is>
      </c>
      <c r="B69" s="11">
        <f>0.37545+0.195228*'Ranking (hardened)'!$F$70/39375</f>
        <v/>
      </c>
      <c r="C69" s="11">
        <f>0.38641+0.204082*'Ranking (hardened)'!$F$70/39375</f>
        <v/>
      </c>
      <c r="D69" s="11">
        <f>0.40753+0.213217*'Ranking (hardened)'!$F$70/39375</f>
        <v/>
      </c>
      <c r="E69" s="10">
        <f>0.44547+0.211911*'Ranking (hardened)'!$F$70/39375</f>
        <v/>
      </c>
      <c r="F69" s="11">
        <f>0.44816+0.211838*'Ranking (hardened)'!$F$70/39375</f>
        <v/>
      </c>
      <c r="G69" s="11">
        <f>0.47346+0.213523*'Ranking (hardened)'!$F$70/39375</f>
        <v/>
      </c>
      <c r="H69" s="11">
        <f>0.49754+0.217842*'Ranking (hardened)'!$F$70/39375</f>
        <v/>
      </c>
      <c r="I69" s="9" t="inlineStr">
        <is>
          <t>▒</t>
        </is>
      </c>
      <c r="J69" s="9" t="inlineStr">
        <is>
          <t>▒</t>
        </is>
      </c>
      <c r="K69" s="12" t="inlineStr">
        <is>
          <t>↓ 10k · ≈2025</t>
        </is>
      </c>
      <c r="L69" s="13" t="inlineStr">
        <is>
          <t>◆ 55k · ≈2022 · $39,375</t>
        </is>
      </c>
      <c r="M69" s="14">
        <f>0.41958+0.212264*'Ranking (hardened)'!$F$70/39375</f>
        <v/>
      </c>
      <c r="N69" s="22" t="n">
        <v>7</v>
      </c>
      <c r="O69" s="16" t="inlineStr">
        <is>
          <t>$0.577–$0.685</t>
        </is>
      </c>
      <c r="P69" s="16" t="inlineStr">
        <is>
          <t>$0.453 → $0.190</t>
        </is>
      </c>
    </row>
    <row r="70">
      <c r="A70" s="8" t="inlineStr">
        <is>
          <t>Jeep Grand Cherokee L</t>
        </is>
      </c>
      <c r="B70" s="11">
        <f>0.37211+0.21764*'Ranking (hardened)'!$F$71/28600</f>
        <v/>
      </c>
      <c r="C70" s="11">
        <f>0.38416+0.230863*'Ranking (hardened)'!$F$71/28600</f>
        <v/>
      </c>
      <c r="D70" s="11">
        <f>0.39988+0.224066*'Ranking (hardened)'!$F$71/28600</f>
        <v/>
      </c>
      <c r="E70" s="10">
        <f>0.44592+0.219904*'Ranking (hardened)'!$F$71/28600</f>
        <v/>
      </c>
      <c r="F70" s="9" t="inlineStr">
        <is>
          <t>▒</t>
        </is>
      </c>
      <c r="G70" s="9" t="inlineStr">
        <is>
          <t>▒</t>
        </is>
      </c>
      <c r="H70" s="9" t="inlineStr">
        <is>
          <t>▒</t>
        </is>
      </c>
      <c r="I70" s="9" t="inlineStr">
        <is>
          <t>▒</t>
        </is>
      </c>
      <c r="J70" s="9" t="inlineStr">
        <is>
          <t>▒</t>
        </is>
      </c>
      <c r="K70" s="12" t="inlineStr">
        <is>
          <t>↓ 10k · ≈2025</t>
        </is>
      </c>
      <c r="L70" s="13" t="inlineStr">
        <is>
          <t>◆ 55k · ≈2022 · $28,600</t>
        </is>
      </c>
      <c r="M70" s="14">
        <f>0.41599+0.220679*'Ranking (hardened)'!$F$71/28600</f>
        <v/>
      </c>
      <c r="N70" s="22" t="n">
        <v>7</v>
      </c>
      <c r="O70" s="16" t="inlineStr">
        <is>
          <t>$0.591–$0.695</t>
        </is>
      </c>
      <c r="P70" s="16" t="inlineStr">
        <is>
          <t>$0.322 → $0.201</t>
        </is>
      </c>
    </row>
    <row r="71">
      <c r="A71" s="8" t="inlineStr">
        <is>
          <t>Volvo V90 Cross Country</t>
        </is>
      </c>
      <c r="B71" s="11">
        <f>0.35872+0.22082*'Ranking (hardened)'!$F$72/29800</f>
        <v/>
      </c>
      <c r="C71" s="11">
        <f>0.37214+0.233074*'Ranking (hardened)'!$F$72/29800</f>
        <v/>
      </c>
      <c r="D71" s="11">
        <f>0.39665+0.23221*'Ranking (hardened)'!$F$72/29800</f>
        <v/>
      </c>
      <c r="E71" s="10">
        <f>0.41867+0.222539*'Ranking (hardened)'!$F$72/29800</f>
        <v/>
      </c>
      <c r="F71" s="11">
        <f>0.44444+0.21492*'Ranking (hardened)'!$F$72/29800</f>
        <v/>
      </c>
      <c r="G71" s="11">
        <f>0.48584+0.211244*'Ranking (hardened)'!$F$72/29800</f>
        <v/>
      </c>
      <c r="H71" s="11">
        <f>0.55033+0.218204*'Ranking (hardened)'!$F$72/29800</f>
        <v/>
      </c>
      <c r="I71" s="9" t="inlineStr">
        <is>
          <t>▒</t>
        </is>
      </c>
      <c r="J71" s="9" t="inlineStr">
        <is>
          <t>▒</t>
        </is>
      </c>
      <c r="K71" s="12" t="inlineStr">
        <is>
          <t>↓ 10k · ≈2025</t>
        </is>
      </c>
      <c r="L71" s="13" t="inlineStr">
        <is>
          <t>◆ 65k · ≈2021 · $29,800</t>
        </is>
      </c>
      <c r="M71" s="14">
        <f>0.42427+0.220414*'Ranking (hardened)'!$F$72/29800</f>
        <v/>
      </c>
      <c r="N71" s="22" t="n">
        <v>7</v>
      </c>
      <c r="O71" s="16" t="inlineStr">
        <is>
          <t>$0.584–$0.715</t>
        </is>
      </c>
      <c r="P71" s="16" t="inlineStr">
        <is>
          <t>$0.373 → $0.113</t>
        </is>
      </c>
    </row>
    <row r="72">
      <c r="A72" s="8" t="inlineStr">
        <is>
          <t>Chevy Suburban</t>
        </is>
      </c>
      <c r="B72" s="11">
        <f>0.37565+0.204778*'Ranking (hardened)'!$F$73/42375</f>
        <v/>
      </c>
      <c r="C72" s="11">
        <f>0.38655+0.213904*'Ranking (hardened)'!$F$73/42375</f>
        <v/>
      </c>
      <c r="D72" s="11">
        <f>0.40764+0.223826*'Ranking (hardened)'!$F$73/42375</f>
        <v/>
      </c>
      <c r="E72" s="10">
        <f>0.44554+0.223698*'Ranking (hardened)'!$F$73/42375</f>
        <v/>
      </c>
      <c r="F72" s="11">
        <f>0.4481+0.22354*'Ranking (hardened)'!$F$73/42375</f>
        <v/>
      </c>
      <c r="G72" s="11">
        <f>0.47313+0.223338*'Ranking (hardened)'!$F$73/42375</f>
        <v/>
      </c>
      <c r="H72" s="11">
        <f>0.49708+0.22709*'Ranking (hardened)'!$F$73/42375</f>
        <v/>
      </c>
      <c r="I72" s="9" t="inlineStr">
        <is>
          <t>▒</t>
        </is>
      </c>
      <c r="J72" s="9" t="inlineStr">
        <is>
          <t>▒</t>
        </is>
      </c>
      <c r="K72" s="12" t="inlineStr">
        <is>
          <t>↓ 10k · ≈2025</t>
        </is>
      </c>
      <c r="L72" s="13" t="inlineStr">
        <is>
          <t>◆ 55k · ≈2022 · $42,375</t>
        </is>
      </c>
      <c r="M72" s="14">
        <f>0.41965+0.223733*'Ranking (hardened)'!$F$73/42375</f>
        <v/>
      </c>
      <c r="N72" s="22" t="n">
        <v>7</v>
      </c>
      <c r="O72" s="16" t="inlineStr">
        <is>
          <t>$0.589–$0.701</t>
        </is>
      </c>
      <c r="P72" s="16" t="inlineStr">
        <is>
          <t>$0.489 → $0.207</t>
        </is>
      </c>
    </row>
    <row r="73">
      <c r="A73" s="8" t="inlineStr">
        <is>
          <t>Volvo XC90</t>
        </is>
      </c>
      <c r="B73" s="11">
        <f>0.38946+0.259459*'Ranking (hardened)'!$F$74/30000</f>
        <v/>
      </c>
      <c r="C73" s="11">
        <f>0.40441+0.274286*'Ranking (hardened)'!$F$74/30000</f>
        <v/>
      </c>
      <c r="D73" s="11">
        <f>0.4297+0.258065*'Ranking (hardened)'!$F$74/30000</f>
        <v/>
      </c>
      <c r="E73" s="10">
        <f>0.45476+0.245926*'Ranking (hardened)'!$F$74/30000</f>
        <v/>
      </c>
      <c r="F73" s="11">
        <f>0.48303+0.237681*'Ranking (hardened)'!$F$74/30000</f>
        <v/>
      </c>
      <c r="G73" s="11">
        <f>0.53157+0.231579*'Ranking (hardened)'!$F$74/30000</f>
        <v/>
      </c>
      <c r="H73" s="11">
        <f>0.60595+0.24*'Ranking (hardened)'!$F$74/30000</f>
        <v/>
      </c>
      <c r="I73" s="9" t="inlineStr">
        <is>
          <t>▒</t>
        </is>
      </c>
      <c r="J73" s="9" t="inlineStr">
        <is>
          <t>▒</t>
        </is>
      </c>
      <c r="K73" s="12" t="inlineStr">
        <is>
          <t>↓ 10k · ≈2025</t>
        </is>
      </c>
      <c r="L73" s="13" t="inlineStr">
        <is>
          <t>◆ 70k · ≈2021 · $30,000</t>
        </is>
      </c>
      <c r="M73" s="14">
        <f>0.47191+0.24*'Ranking (hardened)'!$F$74/30000</f>
        <v/>
      </c>
      <c r="N73" s="23" t="n">
        <v>8</v>
      </c>
      <c r="O73" s="16" t="inlineStr">
        <is>
          <t>$0.635–$0.811</t>
        </is>
      </c>
      <c r="P73" s="16" t="inlineStr">
        <is>
          <t>$0.420 → $0.115</t>
        </is>
      </c>
    </row>
    <row r="75">
      <c r="A75" s="5" t="inlineStr">
        <is>
          <t>HOW TO READ IT: each column is an odometer AND its ≈ model year (top two header rows) — e.g. 60k mi ≈ a 2021 at 13k mi/yr. Read along any row; click any $/mile cell to open the cars.com listings behind that price. THE BOLD cell in each row = the buy PICK (◆) — the SAME odometer→year shown on the Ranking tab. WHY THE BOLD CELL IS NOT THE GREENEST — and it is NOT because of opportunity cost: the 7% market opportunity cost is ALREADY inside every $/mile number here (via discounting). Even so, the $/mile curve still rises with odometer, so the cheapest-per-mile cell is ALWAYS the newest ("Lowest $/mi ↓"). The gap between the newest and the ◆ pick is only ~1-2¢/mile — what remains AFTER opportunity cost is charged — and that is inside the Monte-Carlo noise band, so these buy points are a STATISTICAL TIE on cost. Given the tie, the ◆ pick simply takes the option that needs the LEAST CASH up front (a few thousand dollars less), which a real buyer usually prefers. So: "↓ Lowest $/mi" = cheapest per mile (newest, most cash); "◆ Buy pick" = least cash among cost-ties (a bit older). Both shown on purpose — pick whichever fits your budget. LIVE UPDATES: every cell is a formula tied to that car's editable Purchase $ on the Ranking tab, so correcting a price rescales the whole row and recolors it. Grey ▒ = a year before the model existed. NOTE on the openpilot column (Ranking tab): that is the range of model YEARS openpilot/comma.ai supports for the car — a compatibility range, separate from the cost recommendation. It now checks the CURRENT recommended buy year automatically: "✓" = the recommended buy is openpilot-compatible; "OUTSIDE range" = it is not (e.g. a 2023 Prius is newer than openpilot's 2016–22 support), and it tells you which years would be. Cost and openpilot-compatibility can point at different model years — decide which matters more to you.</t>
        </is>
      </c>
    </row>
    <row r="76"/>
    <row r="77"/>
    <row r="78"/>
    <row r="79"/>
    <row r="80"/>
  </sheetData>
  <mergeCells count="2">
    <mergeCell ref="A1:P1"/>
    <mergeCell ref="A75:M80"/>
  </mergeCells>
  <conditionalFormatting sqref="B5:J73">
    <cfRule type="colorScale" priority="1">
      <colorScale>
        <cfvo type="num" val="0.38"/>
        <cfvo type="num" val="0.55"/>
        <cfvo type="num" val="0.75"/>
        <color rgb="0063BE7B"/>
        <color rgb="00FFEB84"/>
        <color rgb="00F8696B"/>
      </colorScale>
    </cfRule>
  </conditionalFormatting>
  <hyperlinks>
    <hyperlink xmlns:r="http://schemas.openxmlformats.org/officeDocument/2006/relationships" ref="D5" r:id="rId1"/>
    <hyperlink xmlns:r="http://schemas.openxmlformats.org/officeDocument/2006/relationships" ref="E5" r:id="rId2"/>
    <hyperlink xmlns:r="http://schemas.openxmlformats.org/officeDocument/2006/relationships" ref="F5" r:id="rId3"/>
    <hyperlink xmlns:r="http://schemas.openxmlformats.org/officeDocument/2006/relationships" ref="G5" r:id="rId4"/>
    <hyperlink xmlns:r="http://schemas.openxmlformats.org/officeDocument/2006/relationships" ref="H5" r:id="rId5"/>
    <hyperlink xmlns:r="http://schemas.openxmlformats.org/officeDocument/2006/relationships" ref="L5" r:id="rId6"/>
    <hyperlink xmlns:r="http://schemas.openxmlformats.org/officeDocument/2006/relationships" ref="G6" r:id="rId7"/>
    <hyperlink xmlns:r="http://schemas.openxmlformats.org/officeDocument/2006/relationships" ref="H6" r:id="rId8"/>
    <hyperlink xmlns:r="http://schemas.openxmlformats.org/officeDocument/2006/relationships" ref="L6" r:id="rId9"/>
    <hyperlink xmlns:r="http://schemas.openxmlformats.org/officeDocument/2006/relationships" ref="B7" r:id="rId10"/>
    <hyperlink xmlns:r="http://schemas.openxmlformats.org/officeDocument/2006/relationships" ref="C7" r:id="rId11"/>
    <hyperlink xmlns:r="http://schemas.openxmlformats.org/officeDocument/2006/relationships" ref="D7" r:id="rId12"/>
    <hyperlink xmlns:r="http://schemas.openxmlformats.org/officeDocument/2006/relationships" ref="E7" r:id="rId13"/>
    <hyperlink xmlns:r="http://schemas.openxmlformats.org/officeDocument/2006/relationships" ref="F7" r:id="rId14"/>
    <hyperlink xmlns:r="http://schemas.openxmlformats.org/officeDocument/2006/relationships" ref="G7" r:id="rId15"/>
    <hyperlink xmlns:r="http://schemas.openxmlformats.org/officeDocument/2006/relationships" ref="H7" r:id="rId16"/>
    <hyperlink xmlns:r="http://schemas.openxmlformats.org/officeDocument/2006/relationships" ref="I7" r:id="rId17"/>
    <hyperlink xmlns:r="http://schemas.openxmlformats.org/officeDocument/2006/relationships" ref="J7" r:id="rId18"/>
    <hyperlink xmlns:r="http://schemas.openxmlformats.org/officeDocument/2006/relationships" ref="L7" r:id="rId19"/>
    <hyperlink xmlns:r="http://schemas.openxmlformats.org/officeDocument/2006/relationships" ref="B8" r:id="rId20"/>
    <hyperlink xmlns:r="http://schemas.openxmlformats.org/officeDocument/2006/relationships" ref="C8" r:id="rId21"/>
    <hyperlink xmlns:r="http://schemas.openxmlformats.org/officeDocument/2006/relationships" ref="D8" r:id="rId22"/>
    <hyperlink xmlns:r="http://schemas.openxmlformats.org/officeDocument/2006/relationships" ref="E8" r:id="rId23"/>
    <hyperlink xmlns:r="http://schemas.openxmlformats.org/officeDocument/2006/relationships" ref="F8" r:id="rId24"/>
    <hyperlink xmlns:r="http://schemas.openxmlformats.org/officeDocument/2006/relationships" ref="G8" r:id="rId25"/>
    <hyperlink xmlns:r="http://schemas.openxmlformats.org/officeDocument/2006/relationships" ref="H8" r:id="rId26"/>
    <hyperlink xmlns:r="http://schemas.openxmlformats.org/officeDocument/2006/relationships" ref="L8" r:id="rId27"/>
    <hyperlink xmlns:r="http://schemas.openxmlformats.org/officeDocument/2006/relationships" ref="B9" r:id="rId28"/>
    <hyperlink xmlns:r="http://schemas.openxmlformats.org/officeDocument/2006/relationships" ref="C9" r:id="rId29"/>
    <hyperlink xmlns:r="http://schemas.openxmlformats.org/officeDocument/2006/relationships" ref="D9" r:id="rId30"/>
    <hyperlink xmlns:r="http://schemas.openxmlformats.org/officeDocument/2006/relationships" ref="E9" r:id="rId31"/>
    <hyperlink xmlns:r="http://schemas.openxmlformats.org/officeDocument/2006/relationships" ref="F9" r:id="rId32"/>
    <hyperlink xmlns:r="http://schemas.openxmlformats.org/officeDocument/2006/relationships" ref="G9" r:id="rId33"/>
    <hyperlink xmlns:r="http://schemas.openxmlformats.org/officeDocument/2006/relationships" ref="H9" r:id="rId34"/>
    <hyperlink xmlns:r="http://schemas.openxmlformats.org/officeDocument/2006/relationships" ref="I9" r:id="rId35"/>
    <hyperlink xmlns:r="http://schemas.openxmlformats.org/officeDocument/2006/relationships" ref="J9" r:id="rId36"/>
    <hyperlink xmlns:r="http://schemas.openxmlformats.org/officeDocument/2006/relationships" ref="L9" r:id="rId37"/>
    <hyperlink xmlns:r="http://schemas.openxmlformats.org/officeDocument/2006/relationships" ref="B10" r:id="rId38"/>
    <hyperlink xmlns:r="http://schemas.openxmlformats.org/officeDocument/2006/relationships" ref="C10" r:id="rId39"/>
    <hyperlink xmlns:r="http://schemas.openxmlformats.org/officeDocument/2006/relationships" ref="D10" r:id="rId40"/>
    <hyperlink xmlns:r="http://schemas.openxmlformats.org/officeDocument/2006/relationships" ref="E10" r:id="rId41"/>
    <hyperlink xmlns:r="http://schemas.openxmlformats.org/officeDocument/2006/relationships" ref="F10" r:id="rId42"/>
    <hyperlink xmlns:r="http://schemas.openxmlformats.org/officeDocument/2006/relationships" ref="G10" r:id="rId43"/>
    <hyperlink xmlns:r="http://schemas.openxmlformats.org/officeDocument/2006/relationships" ref="H10" r:id="rId44"/>
    <hyperlink xmlns:r="http://schemas.openxmlformats.org/officeDocument/2006/relationships" ref="I10" r:id="rId45"/>
    <hyperlink xmlns:r="http://schemas.openxmlformats.org/officeDocument/2006/relationships" ref="J10" r:id="rId46"/>
    <hyperlink xmlns:r="http://schemas.openxmlformats.org/officeDocument/2006/relationships" ref="L10" r:id="rId47"/>
    <hyperlink xmlns:r="http://schemas.openxmlformats.org/officeDocument/2006/relationships" ref="B11" r:id="rId48"/>
    <hyperlink xmlns:r="http://schemas.openxmlformats.org/officeDocument/2006/relationships" ref="C11" r:id="rId49"/>
    <hyperlink xmlns:r="http://schemas.openxmlformats.org/officeDocument/2006/relationships" ref="D11" r:id="rId50"/>
    <hyperlink xmlns:r="http://schemas.openxmlformats.org/officeDocument/2006/relationships" ref="E11" r:id="rId51"/>
    <hyperlink xmlns:r="http://schemas.openxmlformats.org/officeDocument/2006/relationships" ref="F11" r:id="rId52"/>
    <hyperlink xmlns:r="http://schemas.openxmlformats.org/officeDocument/2006/relationships" ref="G11" r:id="rId53"/>
    <hyperlink xmlns:r="http://schemas.openxmlformats.org/officeDocument/2006/relationships" ref="H11" r:id="rId54"/>
    <hyperlink xmlns:r="http://schemas.openxmlformats.org/officeDocument/2006/relationships" ref="I11" r:id="rId55"/>
    <hyperlink xmlns:r="http://schemas.openxmlformats.org/officeDocument/2006/relationships" ref="J11" r:id="rId56"/>
    <hyperlink xmlns:r="http://schemas.openxmlformats.org/officeDocument/2006/relationships" ref="L11" r:id="rId57"/>
    <hyperlink xmlns:r="http://schemas.openxmlformats.org/officeDocument/2006/relationships" ref="B12" r:id="rId58"/>
    <hyperlink xmlns:r="http://schemas.openxmlformats.org/officeDocument/2006/relationships" ref="C12" r:id="rId59"/>
    <hyperlink xmlns:r="http://schemas.openxmlformats.org/officeDocument/2006/relationships" ref="D12" r:id="rId60"/>
    <hyperlink xmlns:r="http://schemas.openxmlformats.org/officeDocument/2006/relationships" ref="E12" r:id="rId61"/>
    <hyperlink xmlns:r="http://schemas.openxmlformats.org/officeDocument/2006/relationships" ref="F12" r:id="rId62"/>
    <hyperlink xmlns:r="http://schemas.openxmlformats.org/officeDocument/2006/relationships" ref="G12" r:id="rId63"/>
    <hyperlink xmlns:r="http://schemas.openxmlformats.org/officeDocument/2006/relationships" ref="L12" r:id="rId64"/>
    <hyperlink xmlns:r="http://schemas.openxmlformats.org/officeDocument/2006/relationships" ref="B13" r:id="rId65"/>
    <hyperlink xmlns:r="http://schemas.openxmlformats.org/officeDocument/2006/relationships" ref="C13" r:id="rId66"/>
    <hyperlink xmlns:r="http://schemas.openxmlformats.org/officeDocument/2006/relationships" ref="D13" r:id="rId67"/>
    <hyperlink xmlns:r="http://schemas.openxmlformats.org/officeDocument/2006/relationships" ref="E13" r:id="rId68"/>
    <hyperlink xmlns:r="http://schemas.openxmlformats.org/officeDocument/2006/relationships" ref="F13" r:id="rId69"/>
    <hyperlink xmlns:r="http://schemas.openxmlformats.org/officeDocument/2006/relationships" ref="G13" r:id="rId70"/>
    <hyperlink xmlns:r="http://schemas.openxmlformats.org/officeDocument/2006/relationships" ref="H13" r:id="rId71"/>
    <hyperlink xmlns:r="http://schemas.openxmlformats.org/officeDocument/2006/relationships" ref="I13" r:id="rId72"/>
    <hyperlink xmlns:r="http://schemas.openxmlformats.org/officeDocument/2006/relationships" ref="J13" r:id="rId73"/>
    <hyperlink xmlns:r="http://schemas.openxmlformats.org/officeDocument/2006/relationships" ref="L13" r:id="rId74"/>
    <hyperlink xmlns:r="http://schemas.openxmlformats.org/officeDocument/2006/relationships" ref="B14" r:id="rId75"/>
    <hyperlink xmlns:r="http://schemas.openxmlformats.org/officeDocument/2006/relationships" ref="C14" r:id="rId76"/>
    <hyperlink xmlns:r="http://schemas.openxmlformats.org/officeDocument/2006/relationships" ref="D14" r:id="rId77"/>
    <hyperlink xmlns:r="http://schemas.openxmlformats.org/officeDocument/2006/relationships" ref="E14" r:id="rId78"/>
    <hyperlink xmlns:r="http://schemas.openxmlformats.org/officeDocument/2006/relationships" ref="F14" r:id="rId79"/>
    <hyperlink xmlns:r="http://schemas.openxmlformats.org/officeDocument/2006/relationships" ref="G14" r:id="rId80"/>
    <hyperlink xmlns:r="http://schemas.openxmlformats.org/officeDocument/2006/relationships" ref="H14" r:id="rId81"/>
    <hyperlink xmlns:r="http://schemas.openxmlformats.org/officeDocument/2006/relationships" ref="I14" r:id="rId82"/>
    <hyperlink xmlns:r="http://schemas.openxmlformats.org/officeDocument/2006/relationships" ref="J14" r:id="rId83"/>
    <hyperlink xmlns:r="http://schemas.openxmlformats.org/officeDocument/2006/relationships" ref="L14" r:id="rId84"/>
    <hyperlink xmlns:r="http://schemas.openxmlformats.org/officeDocument/2006/relationships" ref="B15" r:id="rId85"/>
    <hyperlink xmlns:r="http://schemas.openxmlformats.org/officeDocument/2006/relationships" ref="L15" r:id="rId86"/>
    <hyperlink xmlns:r="http://schemas.openxmlformats.org/officeDocument/2006/relationships" ref="B16" r:id="rId87"/>
    <hyperlink xmlns:r="http://schemas.openxmlformats.org/officeDocument/2006/relationships" ref="C16" r:id="rId88"/>
    <hyperlink xmlns:r="http://schemas.openxmlformats.org/officeDocument/2006/relationships" ref="D16" r:id="rId89"/>
    <hyperlink xmlns:r="http://schemas.openxmlformats.org/officeDocument/2006/relationships" ref="E16" r:id="rId90"/>
    <hyperlink xmlns:r="http://schemas.openxmlformats.org/officeDocument/2006/relationships" ref="F16" r:id="rId91"/>
    <hyperlink xmlns:r="http://schemas.openxmlformats.org/officeDocument/2006/relationships" ref="G16" r:id="rId92"/>
    <hyperlink xmlns:r="http://schemas.openxmlformats.org/officeDocument/2006/relationships" ref="H16" r:id="rId93"/>
    <hyperlink xmlns:r="http://schemas.openxmlformats.org/officeDocument/2006/relationships" ref="I16" r:id="rId94"/>
    <hyperlink xmlns:r="http://schemas.openxmlformats.org/officeDocument/2006/relationships" ref="J16" r:id="rId95"/>
    <hyperlink xmlns:r="http://schemas.openxmlformats.org/officeDocument/2006/relationships" ref="L16" r:id="rId96"/>
    <hyperlink xmlns:r="http://schemas.openxmlformats.org/officeDocument/2006/relationships" ref="B17" r:id="rId97"/>
    <hyperlink xmlns:r="http://schemas.openxmlformats.org/officeDocument/2006/relationships" ref="C17" r:id="rId98"/>
    <hyperlink xmlns:r="http://schemas.openxmlformats.org/officeDocument/2006/relationships" ref="D17" r:id="rId99"/>
    <hyperlink xmlns:r="http://schemas.openxmlformats.org/officeDocument/2006/relationships" ref="E17" r:id="rId100"/>
    <hyperlink xmlns:r="http://schemas.openxmlformats.org/officeDocument/2006/relationships" ref="F17" r:id="rId101"/>
    <hyperlink xmlns:r="http://schemas.openxmlformats.org/officeDocument/2006/relationships" ref="G17" r:id="rId102"/>
    <hyperlink xmlns:r="http://schemas.openxmlformats.org/officeDocument/2006/relationships" ref="H17" r:id="rId103"/>
    <hyperlink xmlns:r="http://schemas.openxmlformats.org/officeDocument/2006/relationships" ref="I17" r:id="rId104"/>
    <hyperlink xmlns:r="http://schemas.openxmlformats.org/officeDocument/2006/relationships" ref="J17" r:id="rId105"/>
    <hyperlink xmlns:r="http://schemas.openxmlformats.org/officeDocument/2006/relationships" ref="L17" r:id="rId106"/>
    <hyperlink xmlns:r="http://schemas.openxmlformats.org/officeDocument/2006/relationships" ref="B18" r:id="rId107"/>
    <hyperlink xmlns:r="http://schemas.openxmlformats.org/officeDocument/2006/relationships" ref="C18" r:id="rId108"/>
    <hyperlink xmlns:r="http://schemas.openxmlformats.org/officeDocument/2006/relationships" ref="D18" r:id="rId109"/>
    <hyperlink xmlns:r="http://schemas.openxmlformats.org/officeDocument/2006/relationships" ref="E18" r:id="rId110"/>
    <hyperlink xmlns:r="http://schemas.openxmlformats.org/officeDocument/2006/relationships" ref="F18" r:id="rId111"/>
    <hyperlink xmlns:r="http://schemas.openxmlformats.org/officeDocument/2006/relationships" ref="G18" r:id="rId112"/>
    <hyperlink xmlns:r="http://schemas.openxmlformats.org/officeDocument/2006/relationships" ref="H18" r:id="rId113"/>
    <hyperlink xmlns:r="http://schemas.openxmlformats.org/officeDocument/2006/relationships" ref="L18" r:id="rId114"/>
    <hyperlink xmlns:r="http://schemas.openxmlformats.org/officeDocument/2006/relationships" ref="B19" r:id="rId115"/>
    <hyperlink xmlns:r="http://schemas.openxmlformats.org/officeDocument/2006/relationships" ref="C19" r:id="rId116"/>
    <hyperlink xmlns:r="http://schemas.openxmlformats.org/officeDocument/2006/relationships" ref="D19" r:id="rId117"/>
    <hyperlink xmlns:r="http://schemas.openxmlformats.org/officeDocument/2006/relationships" ref="E19" r:id="rId118"/>
    <hyperlink xmlns:r="http://schemas.openxmlformats.org/officeDocument/2006/relationships" ref="F19" r:id="rId119"/>
    <hyperlink xmlns:r="http://schemas.openxmlformats.org/officeDocument/2006/relationships" ref="G19" r:id="rId120"/>
    <hyperlink xmlns:r="http://schemas.openxmlformats.org/officeDocument/2006/relationships" ref="H19" r:id="rId121"/>
    <hyperlink xmlns:r="http://schemas.openxmlformats.org/officeDocument/2006/relationships" ref="L19" r:id="rId122"/>
    <hyperlink xmlns:r="http://schemas.openxmlformats.org/officeDocument/2006/relationships" ref="B20" r:id="rId123"/>
    <hyperlink xmlns:r="http://schemas.openxmlformats.org/officeDocument/2006/relationships" ref="C20" r:id="rId124"/>
    <hyperlink xmlns:r="http://schemas.openxmlformats.org/officeDocument/2006/relationships" ref="D20" r:id="rId125"/>
    <hyperlink xmlns:r="http://schemas.openxmlformats.org/officeDocument/2006/relationships" ref="E20" r:id="rId126"/>
    <hyperlink xmlns:r="http://schemas.openxmlformats.org/officeDocument/2006/relationships" ref="F20" r:id="rId127"/>
    <hyperlink xmlns:r="http://schemas.openxmlformats.org/officeDocument/2006/relationships" ref="G20" r:id="rId128"/>
    <hyperlink xmlns:r="http://schemas.openxmlformats.org/officeDocument/2006/relationships" ref="L20" r:id="rId129"/>
    <hyperlink xmlns:r="http://schemas.openxmlformats.org/officeDocument/2006/relationships" ref="B21" r:id="rId130"/>
    <hyperlink xmlns:r="http://schemas.openxmlformats.org/officeDocument/2006/relationships" ref="C21" r:id="rId131"/>
    <hyperlink xmlns:r="http://schemas.openxmlformats.org/officeDocument/2006/relationships" ref="D21" r:id="rId132"/>
    <hyperlink xmlns:r="http://schemas.openxmlformats.org/officeDocument/2006/relationships" ref="E21" r:id="rId133"/>
    <hyperlink xmlns:r="http://schemas.openxmlformats.org/officeDocument/2006/relationships" ref="F21" r:id="rId134"/>
    <hyperlink xmlns:r="http://schemas.openxmlformats.org/officeDocument/2006/relationships" ref="G21" r:id="rId135"/>
    <hyperlink xmlns:r="http://schemas.openxmlformats.org/officeDocument/2006/relationships" ref="H21" r:id="rId136"/>
    <hyperlink xmlns:r="http://schemas.openxmlformats.org/officeDocument/2006/relationships" ref="I21" r:id="rId137"/>
    <hyperlink xmlns:r="http://schemas.openxmlformats.org/officeDocument/2006/relationships" ref="L21" r:id="rId138"/>
    <hyperlink xmlns:r="http://schemas.openxmlformats.org/officeDocument/2006/relationships" ref="B22" r:id="rId139"/>
    <hyperlink xmlns:r="http://schemas.openxmlformats.org/officeDocument/2006/relationships" ref="C22" r:id="rId140"/>
    <hyperlink xmlns:r="http://schemas.openxmlformats.org/officeDocument/2006/relationships" ref="D22" r:id="rId141"/>
    <hyperlink xmlns:r="http://schemas.openxmlformats.org/officeDocument/2006/relationships" ref="E22" r:id="rId142"/>
    <hyperlink xmlns:r="http://schemas.openxmlformats.org/officeDocument/2006/relationships" ref="F22" r:id="rId143"/>
    <hyperlink xmlns:r="http://schemas.openxmlformats.org/officeDocument/2006/relationships" ref="G22" r:id="rId144"/>
    <hyperlink xmlns:r="http://schemas.openxmlformats.org/officeDocument/2006/relationships" ref="H22" r:id="rId145"/>
    <hyperlink xmlns:r="http://schemas.openxmlformats.org/officeDocument/2006/relationships" ref="I22" r:id="rId146"/>
    <hyperlink xmlns:r="http://schemas.openxmlformats.org/officeDocument/2006/relationships" ref="L22" r:id="rId147"/>
    <hyperlink xmlns:r="http://schemas.openxmlformats.org/officeDocument/2006/relationships" ref="G23" r:id="rId148"/>
    <hyperlink xmlns:r="http://schemas.openxmlformats.org/officeDocument/2006/relationships" ref="H23" r:id="rId149"/>
    <hyperlink xmlns:r="http://schemas.openxmlformats.org/officeDocument/2006/relationships" ref="L23" r:id="rId150"/>
    <hyperlink xmlns:r="http://schemas.openxmlformats.org/officeDocument/2006/relationships" ref="B24" r:id="rId151"/>
    <hyperlink xmlns:r="http://schemas.openxmlformats.org/officeDocument/2006/relationships" ref="C24" r:id="rId152"/>
    <hyperlink xmlns:r="http://schemas.openxmlformats.org/officeDocument/2006/relationships" ref="D24" r:id="rId153"/>
    <hyperlink xmlns:r="http://schemas.openxmlformats.org/officeDocument/2006/relationships" ref="E24" r:id="rId154"/>
    <hyperlink xmlns:r="http://schemas.openxmlformats.org/officeDocument/2006/relationships" ref="F24" r:id="rId155"/>
    <hyperlink xmlns:r="http://schemas.openxmlformats.org/officeDocument/2006/relationships" ref="G24" r:id="rId156"/>
    <hyperlink xmlns:r="http://schemas.openxmlformats.org/officeDocument/2006/relationships" ref="H24" r:id="rId157"/>
    <hyperlink xmlns:r="http://schemas.openxmlformats.org/officeDocument/2006/relationships" ref="I24" r:id="rId158"/>
    <hyperlink xmlns:r="http://schemas.openxmlformats.org/officeDocument/2006/relationships" ref="J24" r:id="rId159"/>
    <hyperlink xmlns:r="http://schemas.openxmlformats.org/officeDocument/2006/relationships" ref="L24" r:id="rId160"/>
    <hyperlink xmlns:r="http://schemas.openxmlformats.org/officeDocument/2006/relationships" ref="B25" r:id="rId161"/>
    <hyperlink xmlns:r="http://schemas.openxmlformats.org/officeDocument/2006/relationships" ref="C25" r:id="rId162"/>
    <hyperlink xmlns:r="http://schemas.openxmlformats.org/officeDocument/2006/relationships" ref="D25" r:id="rId163"/>
    <hyperlink xmlns:r="http://schemas.openxmlformats.org/officeDocument/2006/relationships" ref="E25" r:id="rId164"/>
    <hyperlink xmlns:r="http://schemas.openxmlformats.org/officeDocument/2006/relationships" ref="L25" r:id="rId165"/>
    <hyperlink xmlns:r="http://schemas.openxmlformats.org/officeDocument/2006/relationships" ref="B26" r:id="rId166"/>
    <hyperlink xmlns:r="http://schemas.openxmlformats.org/officeDocument/2006/relationships" ref="C26" r:id="rId167"/>
    <hyperlink xmlns:r="http://schemas.openxmlformats.org/officeDocument/2006/relationships" ref="D26" r:id="rId168"/>
    <hyperlink xmlns:r="http://schemas.openxmlformats.org/officeDocument/2006/relationships" ref="E26" r:id="rId169"/>
    <hyperlink xmlns:r="http://schemas.openxmlformats.org/officeDocument/2006/relationships" ref="L26" r:id="rId170"/>
    <hyperlink xmlns:r="http://schemas.openxmlformats.org/officeDocument/2006/relationships" ref="B27" r:id="rId171"/>
    <hyperlink xmlns:r="http://schemas.openxmlformats.org/officeDocument/2006/relationships" ref="C27" r:id="rId172"/>
    <hyperlink xmlns:r="http://schemas.openxmlformats.org/officeDocument/2006/relationships" ref="D27" r:id="rId173"/>
    <hyperlink xmlns:r="http://schemas.openxmlformats.org/officeDocument/2006/relationships" ref="E27" r:id="rId174"/>
    <hyperlink xmlns:r="http://schemas.openxmlformats.org/officeDocument/2006/relationships" ref="F27" r:id="rId175"/>
    <hyperlink xmlns:r="http://schemas.openxmlformats.org/officeDocument/2006/relationships" ref="G27" r:id="rId176"/>
    <hyperlink xmlns:r="http://schemas.openxmlformats.org/officeDocument/2006/relationships" ref="H27" r:id="rId177"/>
    <hyperlink xmlns:r="http://schemas.openxmlformats.org/officeDocument/2006/relationships" ref="I27" r:id="rId178"/>
    <hyperlink xmlns:r="http://schemas.openxmlformats.org/officeDocument/2006/relationships" ref="L27" r:id="rId179"/>
    <hyperlink xmlns:r="http://schemas.openxmlformats.org/officeDocument/2006/relationships" ref="E28" r:id="rId180"/>
    <hyperlink xmlns:r="http://schemas.openxmlformats.org/officeDocument/2006/relationships" ref="F28" r:id="rId181"/>
    <hyperlink xmlns:r="http://schemas.openxmlformats.org/officeDocument/2006/relationships" ref="G28" r:id="rId182"/>
    <hyperlink xmlns:r="http://schemas.openxmlformats.org/officeDocument/2006/relationships" ref="H28" r:id="rId183"/>
    <hyperlink xmlns:r="http://schemas.openxmlformats.org/officeDocument/2006/relationships" ref="I28" r:id="rId184"/>
    <hyperlink xmlns:r="http://schemas.openxmlformats.org/officeDocument/2006/relationships" ref="L28" r:id="rId185"/>
    <hyperlink xmlns:r="http://schemas.openxmlformats.org/officeDocument/2006/relationships" ref="B29" r:id="rId186"/>
    <hyperlink xmlns:r="http://schemas.openxmlformats.org/officeDocument/2006/relationships" ref="C29" r:id="rId187"/>
    <hyperlink xmlns:r="http://schemas.openxmlformats.org/officeDocument/2006/relationships" ref="D29" r:id="rId188"/>
    <hyperlink xmlns:r="http://schemas.openxmlformats.org/officeDocument/2006/relationships" ref="E29" r:id="rId189"/>
    <hyperlink xmlns:r="http://schemas.openxmlformats.org/officeDocument/2006/relationships" ref="F29" r:id="rId190"/>
    <hyperlink xmlns:r="http://schemas.openxmlformats.org/officeDocument/2006/relationships" ref="G29" r:id="rId191"/>
    <hyperlink xmlns:r="http://schemas.openxmlformats.org/officeDocument/2006/relationships" ref="H29" r:id="rId192"/>
    <hyperlink xmlns:r="http://schemas.openxmlformats.org/officeDocument/2006/relationships" ref="I29" r:id="rId193"/>
    <hyperlink xmlns:r="http://schemas.openxmlformats.org/officeDocument/2006/relationships" ref="L29" r:id="rId194"/>
    <hyperlink xmlns:r="http://schemas.openxmlformats.org/officeDocument/2006/relationships" ref="B30" r:id="rId195"/>
    <hyperlink xmlns:r="http://schemas.openxmlformats.org/officeDocument/2006/relationships" ref="C30" r:id="rId196"/>
    <hyperlink xmlns:r="http://schemas.openxmlformats.org/officeDocument/2006/relationships" ref="D30" r:id="rId197"/>
    <hyperlink xmlns:r="http://schemas.openxmlformats.org/officeDocument/2006/relationships" ref="E30" r:id="rId198"/>
    <hyperlink xmlns:r="http://schemas.openxmlformats.org/officeDocument/2006/relationships" ref="F30" r:id="rId199"/>
    <hyperlink xmlns:r="http://schemas.openxmlformats.org/officeDocument/2006/relationships" ref="G30" r:id="rId200"/>
    <hyperlink xmlns:r="http://schemas.openxmlformats.org/officeDocument/2006/relationships" ref="L30" r:id="rId201"/>
    <hyperlink xmlns:r="http://schemas.openxmlformats.org/officeDocument/2006/relationships" ref="B31" r:id="rId202"/>
    <hyperlink xmlns:r="http://schemas.openxmlformats.org/officeDocument/2006/relationships" ref="C31" r:id="rId203"/>
    <hyperlink xmlns:r="http://schemas.openxmlformats.org/officeDocument/2006/relationships" ref="D31" r:id="rId204"/>
    <hyperlink xmlns:r="http://schemas.openxmlformats.org/officeDocument/2006/relationships" ref="E31" r:id="rId205"/>
    <hyperlink xmlns:r="http://schemas.openxmlformats.org/officeDocument/2006/relationships" ref="F31" r:id="rId206"/>
    <hyperlink xmlns:r="http://schemas.openxmlformats.org/officeDocument/2006/relationships" ref="G31" r:id="rId207"/>
    <hyperlink xmlns:r="http://schemas.openxmlformats.org/officeDocument/2006/relationships" ref="H31" r:id="rId208"/>
    <hyperlink xmlns:r="http://schemas.openxmlformats.org/officeDocument/2006/relationships" ref="I31" r:id="rId209"/>
    <hyperlink xmlns:r="http://schemas.openxmlformats.org/officeDocument/2006/relationships" ref="L31" r:id="rId210"/>
    <hyperlink xmlns:r="http://schemas.openxmlformats.org/officeDocument/2006/relationships" ref="B32" r:id="rId211"/>
    <hyperlink xmlns:r="http://schemas.openxmlformats.org/officeDocument/2006/relationships" ref="C32" r:id="rId212"/>
    <hyperlink xmlns:r="http://schemas.openxmlformats.org/officeDocument/2006/relationships" ref="D32" r:id="rId213"/>
    <hyperlink xmlns:r="http://schemas.openxmlformats.org/officeDocument/2006/relationships" ref="E32" r:id="rId214"/>
    <hyperlink xmlns:r="http://schemas.openxmlformats.org/officeDocument/2006/relationships" ref="F32" r:id="rId215"/>
    <hyperlink xmlns:r="http://schemas.openxmlformats.org/officeDocument/2006/relationships" ref="G32" r:id="rId216"/>
    <hyperlink xmlns:r="http://schemas.openxmlformats.org/officeDocument/2006/relationships" ref="H32" r:id="rId217"/>
    <hyperlink xmlns:r="http://schemas.openxmlformats.org/officeDocument/2006/relationships" ref="I32" r:id="rId218"/>
    <hyperlink xmlns:r="http://schemas.openxmlformats.org/officeDocument/2006/relationships" ref="J32" r:id="rId219"/>
    <hyperlink xmlns:r="http://schemas.openxmlformats.org/officeDocument/2006/relationships" ref="L32" r:id="rId220"/>
    <hyperlink xmlns:r="http://schemas.openxmlformats.org/officeDocument/2006/relationships" ref="B33" r:id="rId221"/>
    <hyperlink xmlns:r="http://schemas.openxmlformats.org/officeDocument/2006/relationships" ref="C33" r:id="rId222"/>
    <hyperlink xmlns:r="http://schemas.openxmlformats.org/officeDocument/2006/relationships" ref="D33" r:id="rId223"/>
    <hyperlink xmlns:r="http://schemas.openxmlformats.org/officeDocument/2006/relationships" ref="E33" r:id="rId224"/>
    <hyperlink xmlns:r="http://schemas.openxmlformats.org/officeDocument/2006/relationships" ref="F33" r:id="rId225"/>
    <hyperlink xmlns:r="http://schemas.openxmlformats.org/officeDocument/2006/relationships" ref="G33" r:id="rId226"/>
    <hyperlink xmlns:r="http://schemas.openxmlformats.org/officeDocument/2006/relationships" ref="H33" r:id="rId227"/>
    <hyperlink xmlns:r="http://schemas.openxmlformats.org/officeDocument/2006/relationships" ref="I33" r:id="rId228"/>
    <hyperlink xmlns:r="http://schemas.openxmlformats.org/officeDocument/2006/relationships" ref="J33" r:id="rId229"/>
    <hyperlink xmlns:r="http://schemas.openxmlformats.org/officeDocument/2006/relationships" ref="L33" r:id="rId230"/>
    <hyperlink xmlns:r="http://schemas.openxmlformats.org/officeDocument/2006/relationships" ref="B34" r:id="rId231"/>
    <hyperlink xmlns:r="http://schemas.openxmlformats.org/officeDocument/2006/relationships" ref="C34" r:id="rId232"/>
    <hyperlink xmlns:r="http://schemas.openxmlformats.org/officeDocument/2006/relationships" ref="D34" r:id="rId233"/>
    <hyperlink xmlns:r="http://schemas.openxmlformats.org/officeDocument/2006/relationships" ref="E34" r:id="rId234"/>
    <hyperlink xmlns:r="http://schemas.openxmlformats.org/officeDocument/2006/relationships" ref="F34" r:id="rId235"/>
    <hyperlink xmlns:r="http://schemas.openxmlformats.org/officeDocument/2006/relationships" ref="G34" r:id="rId236"/>
    <hyperlink xmlns:r="http://schemas.openxmlformats.org/officeDocument/2006/relationships" ref="H34" r:id="rId237"/>
    <hyperlink xmlns:r="http://schemas.openxmlformats.org/officeDocument/2006/relationships" ref="I34" r:id="rId238"/>
    <hyperlink xmlns:r="http://schemas.openxmlformats.org/officeDocument/2006/relationships" ref="J34" r:id="rId239"/>
    <hyperlink xmlns:r="http://schemas.openxmlformats.org/officeDocument/2006/relationships" ref="L34" r:id="rId240"/>
    <hyperlink xmlns:r="http://schemas.openxmlformats.org/officeDocument/2006/relationships" ref="B35" r:id="rId241"/>
    <hyperlink xmlns:r="http://schemas.openxmlformats.org/officeDocument/2006/relationships" ref="C35" r:id="rId242"/>
    <hyperlink xmlns:r="http://schemas.openxmlformats.org/officeDocument/2006/relationships" ref="D35" r:id="rId243"/>
    <hyperlink xmlns:r="http://schemas.openxmlformats.org/officeDocument/2006/relationships" ref="E35" r:id="rId244"/>
    <hyperlink xmlns:r="http://schemas.openxmlformats.org/officeDocument/2006/relationships" ref="L35" r:id="rId245"/>
    <hyperlink xmlns:r="http://schemas.openxmlformats.org/officeDocument/2006/relationships" ref="B36" r:id="rId246"/>
    <hyperlink xmlns:r="http://schemas.openxmlformats.org/officeDocument/2006/relationships" ref="C36" r:id="rId247"/>
    <hyperlink xmlns:r="http://schemas.openxmlformats.org/officeDocument/2006/relationships" ref="D36" r:id="rId248"/>
    <hyperlink xmlns:r="http://schemas.openxmlformats.org/officeDocument/2006/relationships" ref="E36" r:id="rId249"/>
    <hyperlink xmlns:r="http://schemas.openxmlformats.org/officeDocument/2006/relationships" ref="F36" r:id="rId250"/>
    <hyperlink xmlns:r="http://schemas.openxmlformats.org/officeDocument/2006/relationships" ref="G36" r:id="rId251"/>
    <hyperlink xmlns:r="http://schemas.openxmlformats.org/officeDocument/2006/relationships" ref="H36" r:id="rId252"/>
    <hyperlink xmlns:r="http://schemas.openxmlformats.org/officeDocument/2006/relationships" ref="I36" r:id="rId253"/>
    <hyperlink xmlns:r="http://schemas.openxmlformats.org/officeDocument/2006/relationships" ref="J36" r:id="rId254"/>
    <hyperlink xmlns:r="http://schemas.openxmlformats.org/officeDocument/2006/relationships" ref="L36" r:id="rId255"/>
    <hyperlink xmlns:r="http://schemas.openxmlformats.org/officeDocument/2006/relationships" ref="B37" r:id="rId256"/>
    <hyperlink xmlns:r="http://schemas.openxmlformats.org/officeDocument/2006/relationships" ref="C37" r:id="rId257"/>
    <hyperlink xmlns:r="http://schemas.openxmlformats.org/officeDocument/2006/relationships" ref="D37" r:id="rId258"/>
    <hyperlink xmlns:r="http://schemas.openxmlformats.org/officeDocument/2006/relationships" ref="E37" r:id="rId259"/>
    <hyperlink xmlns:r="http://schemas.openxmlformats.org/officeDocument/2006/relationships" ref="F37" r:id="rId260"/>
    <hyperlink xmlns:r="http://schemas.openxmlformats.org/officeDocument/2006/relationships" ref="G37" r:id="rId261"/>
    <hyperlink xmlns:r="http://schemas.openxmlformats.org/officeDocument/2006/relationships" ref="H37" r:id="rId262"/>
    <hyperlink xmlns:r="http://schemas.openxmlformats.org/officeDocument/2006/relationships" ref="I37" r:id="rId263"/>
    <hyperlink xmlns:r="http://schemas.openxmlformats.org/officeDocument/2006/relationships" ref="L37" r:id="rId264"/>
    <hyperlink xmlns:r="http://schemas.openxmlformats.org/officeDocument/2006/relationships" ref="B38" r:id="rId265"/>
    <hyperlink xmlns:r="http://schemas.openxmlformats.org/officeDocument/2006/relationships" ref="C38" r:id="rId266"/>
    <hyperlink xmlns:r="http://schemas.openxmlformats.org/officeDocument/2006/relationships" ref="D38" r:id="rId267"/>
    <hyperlink xmlns:r="http://schemas.openxmlformats.org/officeDocument/2006/relationships" ref="E38" r:id="rId268"/>
    <hyperlink xmlns:r="http://schemas.openxmlformats.org/officeDocument/2006/relationships" ref="F38" r:id="rId269"/>
    <hyperlink xmlns:r="http://schemas.openxmlformats.org/officeDocument/2006/relationships" ref="G38" r:id="rId270"/>
    <hyperlink xmlns:r="http://schemas.openxmlformats.org/officeDocument/2006/relationships" ref="H38" r:id="rId271"/>
    <hyperlink xmlns:r="http://schemas.openxmlformats.org/officeDocument/2006/relationships" ref="I38" r:id="rId272"/>
    <hyperlink xmlns:r="http://schemas.openxmlformats.org/officeDocument/2006/relationships" ref="L38" r:id="rId273"/>
    <hyperlink xmlns:r="http://schemas.openxmlformats.org/officeDocument/2006/relationships" ref="F39" r:id="rId274"/>
    <hyperlink xmlns:r="http://schemas.openxmlformats.org/officeDocument/2006/relationships" ref="G39" r:id="rId275"/>
    <hyperlink xmlns:r="http://schemas.openxmlformats.org/officeDocument/2006/relationships" ref="H39" r:id="rId276"/>
    <hyperlink xmlns:r="http://schemas.openxmlformats.org/officeDocument/2006/relationships" ref="I39" r:id="rId277"/>
    <hyperlink xmlns:r="http://schemas.openxmlformats.org/officeDocument/2006/relationships" ref="J39" r:id="rId278"/>
    <hyperlink xmlns:r="http://schemas.openxmlformats.org/officeDocument/2006/relationships" ref="L39" r:id="rId279"/>
    <hyperlink xmlns:r="http://schemas.openxmlformats.org/officeDocument/2006/relationships" ref="B40" r:id="rId280"/>
    <hyperlink xmlns:r="http://schemas.openxmlformats.org/officeDocument/2006/relationships" ref="C40" r:id="rId281"/>
    <hyperlink xmlns:r="http://schemas.openxmlformats.org/officeDocument/2006/relationships" ref="D40" r:id="rId282"/>
    <hyperlink xmlns:r="http://schemas.openxmlformats.org/officeDocument/2006/relationships" ref="E40" r:id="rId283"/>
    <hyperlink xmlns:r="http://schemas.openxmlformats.org/officeDocument/2006/relationships" ref="F40" r:id="rId284"/>
    <hyperlink xmlns:r="http://schemas.openxmlformats.org/officeDocument/2006/relationships" ref="G40" r:id="rId285"/>
    <hyperlink xmlns:r="http://schemas.openxmlformats.org/officeDocument/2006/relationships" ref="H40" r:id="rId286"/>
    <hyperlink xmlns:r="http://schemas.openxmlformats.org/officeDocument/2006/relationships" ref="I40" r:id="rId287"/>
    <hyperlink xmlns:r="http://schemas.openxmlformats.org/officeDocument/2006/relationships" ref="L40" r:id="rId288"/>
    <hyperlink xmlns:r="http://schemas.openxmlformats.org/officeDocument/2006/relationships" ref="L41" r:id="rId289"/>
    <hyperlink xmlns:r="http://schemas.openxmlformats.org/officeDocument/2006/relationships" ref="D42" r:id="rId290"/>
    <hyperlink xmlns:r="http://schemas.openxmlformats.org/officeDocument/2006/relationships" ref="E42" r:id="rId291"/>
    <hyperlink xmlns:r="http://schemas.openxmlformats.org/officeDocument/2006/relationships" ref="F42" r:id="rId292"/>
    <hyperlink xmlns:r="http://schemas.openxmlformats.org/officeDocument/2006/relationships" ref="G42" r:id="rId293"/>
    <hyperlink xmlns:r="http://schemas.openxmlformats.org/officeDocument/2006/relationships" ref="H42" r:id="rId294"/>
    <hyperlink xmlns:r="http://schemas.openxmlformats.org/officeDocument/2006/relationships" ref="L42" r:id="rId295"/>
    <hyperlink xmlns:r="http://schemas.openxmlformats.org/officeDocument/2006/relationships" ref="B43" r:id="rId296"/>
    <hyperlink xmlns:r="http://schemas.openxmlformats.org/officeDocument/2006/relationships" ref="C43" r:id="rId297"/>
    <hyperlink xmlns:r="http://schemas.openxmlformats.org/officeDocument/2006/relationships" ref="D43" r:id="rId298"/>
    <hyperlink xmlns:r="http://schemas.openxmlformats.org/officeDocument/2006/relationships" ref="E43" r:id="rId299"/>
    <hyperlink xmlns:r="http://schemas.openxmlformats.org/officeDocument/2006/relationships" ref="F43" r:id="rId300"/>
    <hyperlink xmlns:r="http://schemas.openxmlformats.org/officeDocument/2006/relationships" ref="G43" r:id="rId301"/>
    <hyperlink xmlns:r="http://schemas.openxmlformats.org/officeDocument/2006/relationships" ref="H43" r:id="rId302"/>
    <hyperlink xmlns:r="http://schemas.openxmlformats.org/officeDocument/2006/relationships" ref="L43" r:id="rId303"/>
    <hyperlink xmlns:r="http://schemas.openxmlformats.org/officeDocument/2006/relationships" ref="B44" r:id="rId304"/>
    <hyperlink xmlns:r="http://schemas.openxmlformats.org/officeDocument/2006/relationships" ref="C44" r:id="rId305"/>
    <hyperlink xmlns:r="http://schemas.openxmlformats.org/officeDocument/2006/relationships" ref="D44" r:id="rId306"/>
    <hyperlink xmlns:r="http://schemas.openxmlformats.org/officeDocument/2006/relationships" ref="E44" r:id="rId307"/>
    <hyperlink xmlns:r="http://schemas.openxmlformats.org/officeDocument/2006/relationships" ref="F44" r:id="rId308"/>
    <hyperlink xmlns:r="http://schemas.openxmlformats.org/officeDocument/2006/relationships" ref="G44" r:id="rId309"/>
    <hyperlink xmlns:r="http://schemas.openxmlformats.org/officeDocument/2006/relationships" ref="H44" r:id="rId310"/>
    <hyperlink xmlns:r="http://schemas.openxmlformats.org/officeDocument/2006/relationships" ref="I44" r:id="rId311"/>
    <hyperlink xmlns:r="http://schemas.openxmlformats.org/officeDocument/2006/relationships" ref="L44" r:id="rId312"/>
    <hyperlink xmlns:r="http://schemas.openxmlformats.org/officeDocument/2006/relationships" ref="B45" r:id="rId313"/>
    <hyperlink xmlns:r="http://schemas.openxmlformats.org/officeDocument/2006/relationships" ref="C45" r:id="rId314"/>
    <hyperlink xmlns:r="http://schemas.openxmlformats.org/officeDocument/2006/relationships" ref="D45" r:id="rId315"/>
    <hyperlink xmlns:r="http://schemas.openxmlformats.org/officeDocument/2006/relationships" ref="E45" r:id="rId316"/>
    <hyperlink xmlns:r="http://schemas.openxmlformats.org/officeDocument/2006/relationships" ref="F45" r:id="rId317"/>
    <hyperlink xmlns:r="http://schemas.openxmlformats.org/officeDocument/2006/relationships" ref="G45" r:id="rId318"/>
    <hyperlink xmlns:r="http://schemas.openxmlformats.org/officeDocument/2006/relationships" ref="H45" r:id="rId319"/>
    <hyperlink xmlns:r="http://schemas.openxmlformats.org/officeDocument/2006/relationships" ref="I45" r:id="rId320"/>
    <hyperlink xmlns:r="http://schemas.openxmlformats.org/officeDocument/2006/relationships" ref="L45" r:id="rId321"/>
    <hyperlink xmlns:r="http://schemas.openxmlformats.org/officeDocument/2006/relationships" ref="B46" r:id="rId322"/>
    <hyperlink xmlns:r="http://schemas.openxmlformats.org/officeDocument/2006/relationships" ref="C46" r:id="rId323"/>
    <hyperlink xmlns:r="http://schemas.openxmlformats.org/officeDocument/2006/relationships" ref="D46" r:id="rId324"/>
    <hyperlink xmlns:r="http://schemas.openxmlformats.org/officeDocument/2006/relationships" ref="E46" r:id="rId325"/>
    <hyperlink xmlns:r="http://schemas.openxmlformats.org/officeDocument/2006/relationships" ref="F46" r:id="rId326"/>
    <hyperlink xmlns:r="http://schemas.openxmlformats.org/officeDocument/2006/relationships" ref="G46" r:id="rId327"/>
    <hyperlink xmlns:r="http://schemas.openxmlformats.org/officeDocument/2006/relationships" ref="H46" r:id="rId328"/>
    <hyperlink xmlns:r="http://schemas.openxmlformats.org/officeDocument/2006/relationships" ref="I46" r:id="rId329"/>
    <hyperlink xmlns:r="http://schemas.openxmlformats.org/officeDocument/2006/relationships" ref="J46" r:id="rId330"/>
    <hyperlink xmlns:r="http://schemas.openxmlformats.org/officeDocument/2006/relationships" ref="L46" r:id="rId331"/>
    <hyperlink xmlns:r="http://schemas.openxmlformats.org/officeDocument/2006/relationships" ref="B47" r:id="rId332"/>
    <hyperlink xmlns:r="http://schemas.openxmlformats.org/officeDocument/2006/relationships" ref="C47" r:id="rId333"/>
    <hyperlink xmlns:r="http://schemas.openxmlformats.org/officeDocument/2006/relationships" ref="D47" r:id="rId334"/>
    <hyperlink xmlns:r="http://schemas.openxmlformats.org/officeDocument/2006/relationships" ref="E47" r:id="rId335"/>
    <hyperlink xmlns:r="http://schemas.openxmlformats.org/officeDocument/2006/relationships" ref="F47" r:id="rId336"/>
    <hyperlink xmlns:r="http://schemas.openxmlformats.org/officeDocument/2006/relationships" ref="G47" r:id="rId337"/>
    <hyperlink xmlns:r="http://schemas.openxmlformats.org/officeDocument/2006/relationships" ref="H47" r:id="rId338"/>
    <hyperlink xmlns:r="http://schemas.openxmlformats.org/officeDocument/2006/relationships" ref="I47" r:id="rId339"/>
    <hyperlink xmlns:r="http://schemas.openxmlformats.org/officeDocument/2006/relationships" ref="L47" r:id="rId340"/>
    <hyperlink xmlns:r="http://schemas.openxmlformats.org/officeDocument/2006/relationships" ref="B48" r:id="rId341"/>
    <hyperlink xmlns:r="http://schemas.openxmlformats.org/officeDocument/2006/relationships" ref="C48" r:id="rId342"/>
    <hyperlink xmlns:r="http://schemas.openxmlformats.org/officeDocument/2006/relationships" ref="D48" r:id="rId343"/>
    <hyperlink xmlns:r="http://schemas.openxmlformats.org/officeDocument/2006/relationships" ref="E48" r:id="rId344"/>
    <hyperlink xmlns:r="http://schemas.openxmlformats.org/officeDocument/2006/relationships" ref="F48" r:id="rId345"/>
    <hyperlink xmlns:r="http://schemas.openxmlformats.org/officeDocument/2006/relationships" ref="G48" r:id="rId346"/>
    <hyperlink xmlns:r="http://schemas.openxmlformats.org/officeDocument/2006/relationships" ref="H48" r:id="rId347"/>
    <hyperlink xmlns:r="http://schemas.openxmlformats.org/officeDocument/2006/relationships" ref="I48" r:id="rId348"/>
    <hyperlink xmlns:r="http://schemas.openxmlformats.org/officeDocument/2006/relationships" ref="J48" r:id="rId349"/>
    <hyperlink xmlns:r="http://schemas.openxmlformats.org/officeDocument/2006/relationships" ref="L48" r:id="rId350"/>
    <hyperlink xmlns:r="http://schemas.openxmlformats.org/officeDocument/2006/relationships" ref="B49" r:id="rId351"/>
    <hyperlink xmlns:r="http://schemas.openxmlformats.org/officeDocument/2006/relationships" ref="C49" r:id="rId352"/>
    <hyperlink xmlns:r="http://schemas.openxmlformats.org/officeDocument/2006/relationships" ref="D49" r:id="rId353"/>
    <hyperlink xmlns:r="http://schemas.openxmlformats.org/officeDocument/2006/relationships" ref="E49" r:id="rId354"/>
    <hyperlink xmlns:r="http://schemas.openxmlformats.org/officeDocument/2006/relationships" ref="F49" r:id="rId355"/>
    <hyperlink xmlns:r="http://schemas.openxmlformats.org/officeDocument/2006/relationships" ref="G49" r:id="rId356"/>
    <hyperlink xmlns:r="http://schemas.openxmlformats.org/officeDocument/2006/relationships" ref="H49" r:id="rId357"/>
    <hyperlink xmlns:r="http://schemas.openxmlformats.org/officeDocument/2006/relationships" ref="I49" r:id="rId358"/>
    <hyperlink xmlns:r="http://schemas.openxmlformats.org/officeDocument/2006/relationships" ref="J49" r:id="rId359"/>
    <hyperlink xmlns:r="http://schemas.openxmlformats.org/officeDocument/2006/relationships" ref="L49" r:id="rId360"/>
    <hyperlink xmlns:r="http://schemas.openxmlformats.org/officeDocument/2006/relationships" ref="B50" r:id="rId361"/>
    <hyperlink xmlns:r="http://schemas.openxmlformats.org/officeDocument/2006/relationships" ref="C50" r:id="rId362"/>
    <hyperlink xmlns:r="http://schemas.openxmlformats.org/officeDocument/2006/relationships" ref="D50" r:id="rId363"/>
    <hyperlink xmlns:r="http://schemas.openxmlformats.org/officeDocument/2006/relationships" ref="E50" r:id="rId364"/>
    <hyperlink xmlns:r="http://schemas.openxmlformats.org/officeDocument/2006/relationships" ref="F50" r:id="rId365"/>
    <hyperlink xmlns:r="http://schemas.openxmlformats.org/officeDocument/2006/relationships" ref="G50" r:id="rId366"/>
    <hyperlink xmlns:r="http://schemas.openxmlformats.org/officeDocument/2006/relationships" ref="H50" r:id="rId367"/>
    <hyperlink xmlns:r="http://schemas.openxmlformats.org/officeDocument/2006/relationships" ref="I50" r:id="rId368"/>
    <hyperlink xmlns:r="http://schemas.openxmlformats.org/officeDocument/2006/relationships" ref="J50" r:id="rId369"/>
    <hyperlink xmlns:r="http://schemas.openxmlformats.org/officeDocument/2006/relationships" ref="L50" r:id="rId370"/>
    <hyperlink xmlns:r="http://schemas.openxmlformats.org/officeDocument/2006/relationships" ref="B51" r:id="rId371"/>
    <hyperlink xmlns:r="http://schemas.openxmlformats.org/officeDocument/2006/relationships" ref="C51" r:id="rId372"/>
    <hyperlink xmlns:r="http://schemas.openxmlformats.org/officeDocument/2006/relationships" ref="D51" r:id="rId373"/>
    <hyperlink xmlns:r="http://schemas.openxmlformats.org/officeDocument/2006/relationships" ref="E51" r:id="rId374"/>
    <hyperlink xmlns:r="http://schemas.openxmlformats.org/officeDocument/2006/relationships" ref="F51" r:id="rId375"/>
    <hyperlink xmlns:r="http://schemas.openxmlformats.org/officeDocument/2006/relationships" ref="G51" r:id="rId376"/>
    <hyperlink xmlns:r="http://schemas.openxmlformats.org/officeDocument/2006/relationships" ref="H51" r:id="rId377"/>
    <hyperlink xmlns:r="http://schemas.openxmlformats.org/officeDocument/2006/relationships" ref="I51" r:id="rId378"/>
    <hyperlink xmlns:r="http://schemas.openxmlformats.org/officeDocument/2006/relationships" ref="L51" r:id="rId379"/>
    <hyperlink xmlns:r="http://schemas.openxmlformats.org/officeDocument/2006/relationships" ref="B52" r:id="rId380"/>
    <hyperlink xmlns:r="http://schemas.openxmlformats.org/officeDocument/2006/relationships" ref="C52" r:id="rId381"/>
    <hyperlink xmlns:r="http://schemas.openxmlformats.org/officeDocument/2006/relationships" ref="D52" r:id="rId382"/>
    <hyperlink xmlns:r="http://schemas.openxmlformats.org/officeDocument/2006/relationships" ref="E52" r:id="rId383"/>
    <hyperlink xmlns:r="http://schemas.openxmlformats.org/officeDocument/2006/relationships" ref="F52" r:id="rId384"/>
    <hyperlink xmlns:r="http://schemas.openxmlformats.org/officeDocument/2006/relationships" ref="G52" r:id="rId385"/>
    <hyperlink xmlns:r="http://schemas.openxmlformats.org/officeDocument/2006/relationships" ref="L52" r:id="rId386"/>
    <hyperlink xmlns:r="http://schemas.openxmlformats.org/officeDocument/2006/relationships" ref="B53" r:id="rId387"/>
    <hyperlink xmlns:r="http://schemas.openxmlformats.org/officeDocument/2006/relationships" ref="C53" r:id="rId388"/>
    <hyperlink xmlns:r="http://schemas.openxmlformats.org/officeDocument/2006/relationships" ref="D53" r:id="rId389"/>
    <hyperlink xmlns:r="http://schemas.openxmlformats.org/officeDocument/2006/relationships" ref="E53" r:id="rId390"/>
    <hyperlink xmlns:r="http://schemas.openxmlformats.org/officeDocument/2006/relationships" ref="F53" r:id="rId391"/>
    <hyperlink xmlns:r="http://schemas.openxmlformats.org/officeDocument/2006/relationships" ref="G53" r:id="rId392"/>
    <hyperlink xmlns:r="http://schemas.openxmlformats.org/officeDocument/2006/relationships" ref="H53" r:id="rId393"/>
    <hyperlink xmlns:r="http://schemas.openxmlformats.org/officeDocument/2006/relationships" ref="L53" r:id="rId394"/>
    <hyperlink xmlns:r="http://schemas.openxmlformats.org/officeDocument/2006/relationships" ref="B54" r:id="rId395"/>
    <hyperlink xmlns:r="http://schemas.openxmlformats.org/officeDocument/2006/relationships" ref="C54" r:id="rId396"/>
    <hyperlink xmlns:r="http://schemas.openxmlformats.org/officeDocument/2006/relationships" ref="D54" r:id="rId397"/>
    <hyperlink xmlns:r="http://schemas.openxmlformats.org/officeDocument/2006/relationships" ref="E54" r:id="rId398"/>
    <hyperlink xmlns:r="http://schemas.openxmlformats.org/officeDocument/2006/relationships" ref="F54" r:id="rId399"/>
    <hyperlink xmlns:r="http://schemas.openxmlformats.org/officeDocument/2006/relationships" ref="L54" r:id="rId400"/>
    <hyperlink xmlns:r="http://schemas.openxmlformats.org/officeDocument/2006/relationships" ref="B55" r:id="rId401"/>
    <hyperlink xmlns:r="http://schemas.openxmlformats.org/officeDocument/2006/relationships" ref="C55" r:id="rId402"/>
    <hyperlink xmlns:r="http://schemas.openxmlformats.org/officeDocument/2006/relationships" ref="D55" r:id="rId403"/>
    <hyperlink xmlns:r="http://schemas.openxmlformats.org/officeDocument/2006/relationships" ref="E55" r:id="rId404"/>
    <hyperlink xmlns:r="http://schemas.openxmlformats.org/officeDocument/2006/relationships" ref="F55" r:id="rId405"/>
    <hyperlink xmlns:r="http://schemas.openxmlformats.org/officeDocument/2006/relationships" ref="L55" r:id="rId406"/>
    <hyperlink xmlns:r="http://schemas.openxmlformats.org/officeDocument/2006/relationships" ref="B56" r:id="rId407"/>
    <hyperlink xmlns:r="http://schemas.openxmlformats.org/officeDocument/2006/relationships" ref="C56" r:id="rId408"/>
    <hyperlink xmlns:r="http://schemas.openxmlformats.org/officeDocument/2006/relationships" ref="D56" r:id="rId409"/>
    <hyperlink xmlns:r="http://schemas.openxmlformats.org/officeDocument/2006/relationships" ref="E56" r:id="rId410"/>
    <hyperlink xmlns:r="http://schemas.openxmlformats.org/officeDocument/2006/relationships" ref="F56" r:id="rId411"/>
    <hyperlink xmlns:r="http://schemas.openxmlformats.org/officeDocument/2006/relationships" ref="G56" r:id="rId412"/>
    <hyperlink xmlns:r="http://schemas.openxmlformats.org/officeDocument/2006/relationships" ref="H56" r:id="rId413"/>
    <hyperlink xmlns:r="http://schemas.openxmlformats.org/officeDocument/2006/relationships" ref="I56" r:id="rId414"/>
    <hyperlink xmlns:r="http://schemas.openxmlformats.org/officeDocument/2006/relationships" ref="J56" r:id="rId415"/>
    <hyperlink xmlns:r="http://schemas.openxmlformats.org/officeDocument/2006/relationships" ref="L56" r:id="rId416"/>
    <hyperlink xmlns:r="http://schemas.openxmlformats.org/officeDocument/2006/relationships" ref="B57" r:id="rId417"/>
    <hyperlink xmlns:r="http://schemas.openxmlformats.org/officeDocument/2006/relationships" ref="C57" r:id="rId418"/>
    <hyperlink xmlns:r="http://schemas.openxmlformats.org/officeDocument/2006/relationships" ref="D57" r:id="rId419"/>
    <hyperlink xmlns:r="http://schemas.openxmlformats.org/officeDocument/2006/relationships" ref="E57" r:id="rId420"/>
    <hyperlink xmlns:r="http://schemas.openxmlformats.org/officeDocument/2006/relationships" ref="F57" r:id="rId421"/>
    <hyperlink xmlns:r="http://schemas.openxmlformats.org/officeDocument/2006/relationships" ref="G57" r:id="rId422"/>
    <hyperlink xmlns:r="http://schemas.openxmlformats.org/officeDocument/2006/relationships" ref="H57" r:id="rId423"/>
    <hyperlink xmlns:r="http://schemas.openxmlformats.org/officeDocument/2006/relationships" ref="I57" r:id="rId424"/>
    <hyperlink xmlns:r="http://schemas.openxmlformats.org/officeDocument/2006/relationships" ref="L57" r:id="rId425"/>
    <hyperlink xmlns:r="http://schemas.openxmlformats.org/officeDocument/2006/relationships" ref="B58" r:id="rId426"/>
    <hyperlink xmlns:r="http://schemas.openxmlformats.org/officeDocument/2006/relationships" ref="C58" r:id="rId427"/>
    <hyperlink xmlns:r="http://schemas.openxmlformats.org/officeDocument/2006/relationships" ref="D58" r:id="rId428"/>
    <hyperlink xmlns:r="http://schemas.openxmlformats.org/officeDocument/2006/relationships" ref="E58" r:id="rId429"/>
    <hyperlink xmlns:r="http://schemas.openxmlformats.org/officeDocument/2006/relationships" ref="F58" r:id="rId430"/>
    <hyperlink xmlns:r="http://schemas.openxmlformats.org/officeDocument/2006/relationships" ref="G58" r:id="rId431"/>
    <hyperlink xmlns:r="http://schemas.openxmlformats.org/officeDocument/2006/relationships" ref="H58" r:id="rId432"/>
    <hyperlink xmlns:r="http://schemas.openxmlformats.org/officeDocument/2006/relationships" ref="I58" r:id="rId433"/>
    <hyperlink xmlns:r="http://schemas.openxmlformats.org/officeDocument/2006/relationships" ref="J58" r:id="rId434"/>
    <hyperlink xmlns:r="http://schemas.openxmlformats.org/officeDocument/2006/relationships" ref="L58" r:id="rId435"/>
    <hyperlink xmlns:r="http://schemas.openxmlformats.org/officeDocument/2006/relationships" ref="B59" r:id="rId436"/>
    <hyperlink xmlns:r="http://schemas.openxmlformats.org/officeDocument/2006/relationships" ref="C59" r:id="rId437"/>
    <hyperlink xmlns:r="http://schemas.openxmlformats.org/officeDocument/2006/relationships" ref="D59" r:id="rId438"/>
    <hyperlink xmlns:r="http://schemas.openxmlformats.org/officeDocument/2006/relationships" ref="E59" r:id="rId439"/>
    <hyperlink xmlns:r="http://schemas.openxmlformats.org/officeDocument/2006/relationships" ref="F59" r:id="rId440"/>
    <hyperlink xmlns:r="http://schemas.openxmlformats.org/officeDocument/2006/relationships" ref="L59" r:id="rId441"/>
    <hyperlink xmlns:r="http://schemas.openxmlformats.org/officeDocument/2006/relationships" ref="B60" r:id="rId442"/>
    <hyperlink xmlns:r="http://schemas.openxmlformats.org/officeDocument/2006/relationships" ref="C60" r:id="rId443"/>
    <hyperlink xmlns:r="http://schemas.openxmlformats.org/officeDocument/2006/relationships" ref="D60" r:id="rId444"/>
    <hyperlink xmlns:r="http://schemas.openxmlformats.org/officeDocument/2006/relationships" ref="E60" r:id="rId445"/>
    <hyperlink xmlns:r="http://schemas.openxmlformats.org/officeDocument/2006/relationships" ref="F60" r:id="rId446"/>
    <hyperlink xmlns:r="http://schemas.openxmlformats.org/officeDocument/2006/relationships" ref="G60" r:id="rId447"/>
    <hyperlink xmlns:r="http://schemas.openxmlformats.org/officeDocument/2006/relationships" ref="H60" r:id="rId448"/>
    <hyperlink xmlns:r="http://schemas.openxmlformats.org/officeDocument/2006/relationships" ref="L60" r:id="rId449"/>
    <hyperlink xmlns:r="http://schemas.openxmlformats.org/officeDocument/2006/relationships" ref="B61" r:id="rId450"/>
    <hyperlink xmlns:r="http://schemas.openxmlformats.org/officeDocument/2006/relationships" ref="C61" r:id="rId451"/>
    <hyperlink xmlns:r="http://schemas.openxmlformats.org/officeDocument/2006/relationships" ref="D61" r:id="rId452"/>
    <hyperlink xmlns:r="http://schemas.openxmlformats.org/officeDocument/2006/relationships" ref="E61" r:id="rId453"/>
    <hyperlink xmlns:r="http://schemas.openxmlformats.org/officeDocument/2006/relationships" ref="F61" r:id="rId454"/>
    <hyperlink xmlns:r="http://schemas.openxmlformats.org/officeDocument/2006/relationships" ref="G61" r:id="rId455"/>
    <hyperlink xmlns:r="http://schemas.openxmlformats.org/officeDocument/2006/relationships" ref="H61" r:id="rId456"/>
    <hyperlink xmlns:r="http://schemas.openxmlformats.org/officeDocument/2006/relationships" ref="L61" r:id="rId457"/>
    <hyperlink xmlns:r="http://schemas.openxmlformats.org/officeDocument/2006/relationships" ref="B62" r:id="rId458"/>
    <hyperlink xmlns:r="http://schemas.openxmlformats.org/officeDocument/2006/relationships" ref="C62" r:id="rId459"/>
    <hyperlink xmlns:r="http://schemas.openxmlformats.org/officeDocument/2006/relationships" ref="D62" r:id="rId460"/>
    <hyperlink xmlns:r="http://schemas.openxmlformats.org/officeDocument/2006/relationships" ref="E62" r:id="rId461"/>
    <hyperlink xmlns:r="http://schemas.openxmlformats.org/officeDocument/2006/relationships" ref="F62" r:id="rId462"/>
    <hyperlink xmlns:r="http://schemas.openxmlformats.org/officeDocument/2006/relationships" ref="L62" r:id="rId463"/>
    <hyperlink xmlns:r="http://schemas.openxmlformats.org/officeDocument/2006/relationships" ref="B63" r:id="rId464"/>
    <hyperlink xmlns:r="http://schemas.openxmlformats.org/officeDocument/2006/relationships" ref="C63" r:id="rId465"/>
    <hyperlink xmlns:r="http://schemas.openxmlformats.org/officeDocument/2006/relationships" ref="L63" r:id="rId466"/>
    <hyperlink xmlns:r="http://schemas.openxmlformats.org/officeDocument/2006/relationships" ref="B64" r:id="rId467"/>
    <hyperlink xmlns:r="http://schemas.openxmlformats.org/officeDocument/2006/relationships" ref="C64" r:id="rId468"/>
    <hyperlink xmlns:r="http://schemas.openxmlformats.org/officeDocument/2006/relationships" ref="D64" r:id="rId469"/>
    <hyperlink xmlns:r="http://schemas.openxmlformats.org/officeDocument/2006/relationships" ref="E64" r:id="rId470"/>
    <hyperlink xmlns:r="http://schemas.openxmlformats.org/officeDocument/2006/relationships" ref="F64" r:id="rId471"/>
    <hyperlink xmlns:r="http://schemas.openxmlformats.org/officeDocument/2006/relationships" ref="G64" r:id="rId472"/>
    <hyperlink xmlns:r="http://schemas.openxmlformats.org/officeDocument/2006/relationships" ref="L64" r:id="rId473"/>
    <hyperlink xmlns:r="http://schemas.openxmlformats.org/officeDocument/2006/relationships" ref="B65" r:id="rId474"/>
    <hyperlink xmlns:r="http://schemas.openxmlformats.org/officeDocument/2006/relationships" ref="C65" r:id="rId475"/>
    <hyperlink xmlns:r="http://schemas.openxmlformats.org/officeDocument/2006/relationships" ref="D65" r:id="rId476"/>
    <hyperlink xmlns:r="http://schemas.openxmlformats.org/officeDocument/2006/relationships" ref="E65" r:id="rId477"/>
    <hyperlink xmlns:r="http://schemas.openxmlformats.org/officeDocument/2006/relationships" ref="F65" r:id="rId478"/>
    <hyperlink xmlns:r="http://schemas.openxmlformats.org/officeDocument/2006/relationships" ref="G65" r:id="rId479"/>
    <hyperlink xmlns:r="http://schemas.openxmlformats.org/officeDocument/2006/relationships" ref="L65" r:id="rId480"/>
    <hyperlink xmlns:r="http://schemas.openxmlformats.org/officeDocument/2006/relationships" ref="B66" r:id="rId481"/>
    <hyperlink xmlns:r="http://schemas.openxmlformats.org/officeDocument/2006/relationships" ref="C66" r:id="rId482"/>
    <hyperlink xmlns:r="http://schemas.openxmlformats.org/officeDocument/2006/relationships" ref="D66" r:id="rId483"/>
    <hyperlink xmlns:r="http://schemas.openxmlformats.org/officeDocument/2006/relationships" ref="E66" r:id="rId484"/>
    <hyperlink xmlns:r="http://schemas.openxmlformats.org/officeDocument/2006/relationships" ref="F66" r:id="rId485"/>
    <hyperlink xmlns:r="http://schemas.openxmlformats.org/officeDocument/2006/relationships" ref="G66" r:id="rId486"/>
    <hyperlink xmlns:r="http://schemas.openxmlformats.org/officeDocument/2006/relationships" ref="H66" r:id="rId487"/>
    <hyperlink xmlns:r="http://schemas.openxmlformats.org/officeDocument/2006/relationships" ref="I66" r:id="rId488"/>
    <hyperlink xmlns:r="http://schemas.openxmlformats.org/officeDocument/2006/relationships" ref="L66" r:id="rId489"/>
    <hyperlink xmlns:r="http://schemas.openxmlformats.org/officeDocument/2006/relationships" ref="B67" r:id="rId490"/>
    <hyperlink xmlns:r="http://schemas.openxmlformats.org/officeDocument/2006/relationships" ref="C67" r:id="rId491"/>
    <hyperlink xmlns:r="http://schemas.openxmlformats.org/officeDocument/2006/relationships" ref="D67" r:id="rId492"/>
    <hyperlink xmlns:r="http://schemas.openxmlformats.org/officeDocument/2006/relationships" ref="E67" r:id="rId493"/>
    <hyperlink xmlns:r="http://schemas.openxmlformats.org/officeDocument/2006/relationships" ref="F67" r:id="rId494"/>
    <hyperlink xmlns:r="http://schemas.openxmlformats.org/officeDocument/2006/relationships" ref="G67" r:id="rId495"/>
    <hyperlink xmlns:r="http://schemas.openxmlformats.org/officeDocument/2006/relationships" ref="H67" r:id="rId496"/>
    <hyperlink xmlns:r="http://schemas.openxmlformats.org/officeDocument/2006/relationships" ref="I67" r:id="rId497"/>
    <hyperlink xmlns:r="http://schemas.openxmlformats.org/officeDocument/2006/relationships" ref="L67" r:id="rId498"/>
    <hyperlink xmlns:r="http://schemas.openxmlformats.org/officeDocument/2006/relationships" ref="B68" r:id="rId499"/>
    <hyperlink xmlns:r="http://schemas.openxmlformats.org/officeDocument/2006/relationships" ref="C68" r:id="rId500"/>
    <hyperlink xmlns:r="http://schemas.openxmlformats.org/officeDocument/2006/relationships" ref="D68" r:id="rId501"/>
    <hyperlink xmlns:r="http://schemas.openxmlformats.org/officeDocument/2006/relationships" ref="E68" r:id="rId502"/>
    <hyperlink xmlns:r="http://schemas.openxmlformats.org/officeDocument/2006/relationships" ref="F68" r:id="rId503"/>
    <hyperlink xmlns:r="http://schemas.openxmlformats.org/officeDocument/2006/relationships" ref="G68" r:id="rId504"/>
    <hyperlink xmlns:r="http://schemas.openxmlformats.org/officeDocument/2006/relationships" ref="L68" r:id="rId505"/>
    <hyperlink xmlns:r="http://schemas.openxmlformats.org/officeDocument/2006/relationships" ref="B69" r:id="rId506"/>
    <hyperlink xmlns:r="http://schemas.openxmlformats.org/officeDocument/2006/relationships" ref="C69" r:id="rId507"/>
    <hyperlink xmlns:r="http://schemas.openxmlformats.org/officeDocument/2006/relationships" ref="D69" r:id="rId508"/>
    <hyperlink xmlns:r="http://schemas.openxmlformats.org/officeDocument/2006/relationships" ref="E69" r:id="rId509"/>
    <hyperlink xmlns:r="http://schemas.openxmlformats.org/officeDocument/2006/relationships" ref="F69" r:id="rId510"/>
    <hyperlink xmlns:r="http://schemas.openxmlformats.org/officeDocument/2006/relationships" ref="G69" r:id="rId511"/>
    <hyperlink xmlns:r="http://schemas.openxmlformats.org/officeDocument/2006/relationships" ref="H69" r:id="rId512"/>
    <hyperlink xmlns:r="http://schemas.openxmlformats.org/officeDocument/2006/relationships" ref="L69" r:id="rId513"/>
    <hyperlink xmlns:r="http://schemas.openxmlformats.org/officeDocument/2006/relationships" ref="B70" r:id="rId514"/>
    <hyperlink xmlns:r="http://schemas.openxmlformats.org/officeDocument/2006/relationships" ref="C70" r:id="rId515"/>
    <hyperlink xmlns:r="http://schemas.openxmlformats.org/officeDocument/2006/relationships" ref="D70" r:id="rId516"/>
    <hyperlink xmlns:r="http://schemas.openxmlformats.org/officeDocument/2006/relationships" ref="E70" r:id="rId517"/>
    <hyperlink xmlns:r="http://schemas.openxmlformats.org/officeDocument/2006/relationships" ref="L70" r:id="rId518"/>
    <hyperlink xmlns:r="http://schemas.openxmlformats.org/officeDocument/2006/relationships" ref="B71" r:id="rId519"/>
    <hyperlink xmlns:r="http://schemas.openxmlformats.org/officeDocument/2006/relationships" ref="C71" r:id="rId520"/>
    <hyperlink xmlns:r="http://schemas.openxmlformats.org/officeDocument/2006/relationships" ref="D71" r:id="rId521"/>
    <hyperlink xmlns:r="http://schemas.openxmlformats.org/officeDocument/2006/relationships" ref="E71" r:id="rId522"/>
    <hyperlink xmlns:r="http://schemas.openxmlformats.org/officeDocument/2006/relationships" ref="F71" r:id="rId523"/>
    <hyperlink xmlns:r="http://schemas.openxmlformats.org/officeDocument/2006/relationships" ref="G71" r:id="rId524"/>
    <hyperlink xmlns:r="http://schemas.openxmlformats.org/officeDocument/2006/relationships" ref="H71" r:id="rId525"/>
    <hyperlink xmlns:r="http://schemas.openxmlformats.org/officeDocument/2006/relationships" ref="L71" r:id="rId526"/>
    <hyperlink xmlns:r="http://schemas.openxmlformats.org/officeDocument/2006/relationships" ref="B72" r:id="rId527"/>
    <hyperlink xmlns:r="http://schemas.openxmlformats.org/officeDocument/2006/relationships" ref="C72" r:id="rId528"/>
    <hyperlink xmlns:r="http://schemas.openxmlformats.org/officeDocument/2006/relationships" ref="D72" r:id="rId529"/>
    <hyperlink xmlns:r="http://schemas.openxmlformats.org/officeDocument/2006/relationships" ref="E72" r:id="rId530"/>
    <hyperlink xmlns:r="http://schemas.openxmlformats.org/officeDocument/2006/relationships" ref="F72" r:id="rId531"/>
    <hyperlink xmlns:r="http://schemas.openxmlformats.org/officeDocument/2006/relationships" ref="G72" r:id="rId532"/>
    <hyperlink xmlns:r="http://schemas.openxmlformats.org/officeDocument/2006/relationships" ref="H72" r:id="rId533"/>
    <hyperlink xmlns:r="http://schemas.openxmlformats.org/officeDocument/2006/relationships" ref="L72" r:id="rId534"/>
    <hyperlink xmlns:r="http://schemas.openxmlformats.org/officeDocument/2006/relationships" ref="B73" r:id="rId535"/>
    <hyperlink xmlns:r="http://schemas.openxmlformats.org/officeDocument/2006/relationships" ref="C73" r:id="rId536"/>
    <hyperlink xmlns:r="http://schemas.openxmlformats.org/officeDocument/2006/relationships" ref="D73" r:id="rId537"/>
    <hyperlink xmlns:r="http://schemas.openxmlformats.org/officeDocument/2006/relationships" ref="E73" r:id="rId538"/>
    <hyperlink xmlns:r="http://schemas.openxmlformats.org/officeDocument/2006/relationships" ref="F73" r:id="rId539"/>
    <hyperlink xmlns:r="http://schemas.openxmlformats.org/officeDocument/2006/relationships" ref="G73" r:id="rId540"/>
    <hyperlink xmlns:r="http://schemas.openxmlformats.org/officeDocument/2006/relationships" ref="H73" r:id="rId541"/>
    <hyperlink xmlns:r="http://schemas.openxmlformats.org/officeDocument/2006/relationships" ref="L73" r:id="rId54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8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3" customWidth="1" min="3" max="3"/>
    <col width="9" customWidth="1" min="4" max="4"/>
    <col width="15" customWidth="1" min="5" max="5"/>
    <col width="11" customWidth="1" min="6" max="6"/>
    <col width="10" customWidth="1" min="7" max="7"/>
    <col width="8" customWidth="1" min="8" max="8"/>
    <col width="10" customWidth="1" min="9" max="9"/>
    <col width="11" customWidth="1" min="10" max="10"/>
    <col width="9" customWidth="1" min="11" max="11"/>
    <col width="9" customWidth="1" min="12" max="12"/>
    <col width="8" customWidth="1" min="13" max="13"/>
    <col width="34" customWidth="1" min="14" max="14"/>
    <col width="40" customWidth="1" min="15" max="15"/>
    <col width="9" customWidth="1" min="16" max="16"/>
    <col width="6" customWidth="1" min="17" max="17"/>
    <col width="9" customWidth="1" min="18" max="18"/>
    <col width="9" customWidth="1" min="19" max="19"/>
    <col width="9" customWidth="1" min="20" max="20"/>
    <col width="10" customWidth="1" min="21" max="21"/>
    <col width="13" customWidth="1" min="22" max="22"/>
    <col width="10" customWidth="1" min="23" max="23"/>
    <col width="7" customWidth="1" min="24" max="24"/>
  </cols>
  <sheetData>
    <row r="1">
      <c r="A1" s="6" t="inlineStr">
        <is>
          <t>LAYER 2 — RANKINGS.  Drive-to-death cost per mile (P50 median), discounted at the market opportunity-cost rate (default 7% real S&amp;P; ADJUSTABLE in the yellow "Opp-cost rate" cell — the last two columns re-price and re-rank live at your rate). Right-side columns show the STATISTICAL TIE TIER (cars in the same tier are not distinguishable), the 90% outcome band, the probability this car beats the next-ranked one, and the lifetime market growth you forgo by tying cash in the car. The far-right "v1 $/mi (old)" is the pre-audit model. Edit yellow gas/electricity + per-car Purchase $ to re-rank live.</t>
        </is>
      </c>
    </row>
    <row r="3">
      <c r="B3" s="24" t="inlineStr">
        <is>
          <t>INPUTS →</t>
        </is>
      </c>
      <c r="C3" s="24" t="inlineStr">
        <is>
          <t>Gas $/gal</t>
        </is>
      </c>
      <c r="D3" s="25" t="n">
        <v>5.455</v>
      </c>
      <c r="E3" s="24" t="inlineStr">
        <is>
          <t>Electricity $/kWh</t>
        </is>
      </c>
      <c r="F3" s="25" t="n">
        <v>0.32</v>
      </c>
      <c r="H3" s="5" t="inlineStr">
        <is>
          <t>Presets: CA $5.455/$0.320 • US avg $3.86/$0.177 • cheap state $3.00/$0.120 • home-EV ~$0.11.   N=1,100 Monte-Carlo draws; discount 7% real (S&amp;P opportunity cost); EOL "maintained" (iSeeCars ×1.30). INSURANCE = USAA active-duty (~×0.8 of standard) + FLORIDA registration (home of record), not CA — see Method tab.</t>
        </is>
      </c>
      <c r="Q3" s="26" t="n">
        <v>0.07000000000000001</v>
      </c>
      <c r="R3" s="5" t="inlineStr">
        <is>
          <t>(3–12% real; 7%=S&amp;P long-run. Cols W,X = "$/mi @ your rate" + "Rank @ your rate", live. A HIGHER rate lowers every $/mi in present-value terms but re-ranks TOWARD cheaper-to-buy cars — watch the Rank column, not the absolute number.)</t>
        </is>
      </c>
    </row>
    <row r="5" ht="34" customHeight="1">
      <c r="A5" s="7" t="inlineStr">
        <is>
          <t>Rank</t>
        </is>
      </c>
      <c r="B5" s="7" t="inlineStr">
        <is>
          <t>Vehicle</t>
        </is>
      </c>
      <c r="C5" s="7" t="inlineStr">
        <is>
          <t>Body</t>
        </is>
      </c>
      <c r="D5" s="7" t="inlineStr">
        <is>
          <t>Energy</t>
        </is>
      </c>
      <c r="E5" s="7" t="inlineStr">
        <is>
          <t>Buy odo → ~yr</t>
        </is>
      </c>
      <c r="F5" s="7" t="inlineStr">
        <is>
          <t>Purchase $
(EDIT ↓)</t>
        </is>
      </c>
      <c r="G5" s="7" t="inlineStr">
        <is>
          <t>TOTAL
$/mi (P50)</t>
        </is>
      </c>
      <c r="H5" s="7" t="inlineStr">
        <is>
          <t>$/mi
P75</t>
        </is>
      </c>
      <c r="I5" s="7" t="inlineStr">
        <is>
          <t>$/mi P90
(bad luck)</t>
        </is>
      </c>
      <c r="J5" s="7" t="inlineStr">
        <is>
          <t>$/mi if
EOL=empirical</t>
        </is>
      </c>
      <c r="K5" s="7" t="inlineStr">
        <is>
          <t>Energy
$/mi</t>
        </is>
      </c>
      <c r="L5" s="7" t="inlineStr">
        <is>
          <t>Non-energy
$/mi</t>
        </is>
      </c>
      <c r="M5" s="7" t="inlineStr">
        <is>
          <t>Insur.
$/yr</t>
        </is>
      </c>
      <c r="N5" s="7" t="inlineStr">
        <is>
          <t>Verify — live listing (click)</t>
        </is>
      </c>
      <c r="O5" s="7" t="inlineStr">
        <is>
          <t>openpilot supported
YEARS (comma.ai)</t>
        </is>
      </c>
      <c r="P5" s="7" t="inlineStr">
        <is>
          <t>v1 $/mi
(old model)</t>
        </is>
      </c>
      <c r="Q5" s="7" t="inlineStr">
        <is>
          <t>Stat.
tier</t>
        </is>
      </c>
      <c r="R5" s="7" t="inlineStr">
        <is>
          <t>90% band
low</t>
        </is>
      </c>
      <c r="S5" s="7" t="inlineStr">
        <is>
          <t>90% band
high</t>
        </is>
      </c>
      <c r="T5" s="7" t="inlineStr">
        <is>
          <t>Beats next
rank (P)</t>
        </is>
      </c>
      <c r="U5" s="7" t="inlineStr">
        <is>
          <t>Capital opp
cost $/mi</t>
        </is>
      </c>
      <c r="V5" s="7" t="inlineStr">
        <is>
          <t>Foregone mkt
growth (life $)</t>
        </is>
      </c>
      <c r="W5" s="7" t="inlineStr">
        <is>
          <t>$/mi @
your rate</t>
        </is>
      </c>
      <c r="X5" s="7" t="inlineStr">
        <is>
          <t>Rank @
your rate</t>
        </is>
      </c>
    </row>
    <row r="6">
      <c r="A6" s="16" t="n">
        <v>1</v>
      </c>
      <c r="B6" s="27" t="inlineStr">
        <is>
          <t>Chevy Bolt EV</t>
        </is>
      </c>
      <c r="C6" s="16" t="inlineStr">
        <is>
          <t>EV</t>
        </is>
      </c>
      <c r="D6" s="16" t="inlineStr">
        <is>
          <t>electric</t>
        </is>
      </c>
      <c r="E6" s="8" t="inlineStr">
        <is>
          <t>45k mi → ~2023</t>
        </is>
      </c>
      <c r="F6" s="28" t="n">
        <v>15643</v>
      </c>
      <c r="G6" s="14">
        <f>0.2429+(F6-15643)/155200+0.0*$D$3+0.22608*$F$3</f>
        <v/>
      </c>
      <c r="H6" s="29">
        <f>0.2701+(F6-15643)/155200+0.0*$D$3+0.22608*$F$3</f>
        <v/>
      </c>
      <c r="I6" s="29">
        <f>0.2992+(F6-15643)/155200+0.0*$D$3+0.22608*$F$3</f>
        <v/>
      </c>
      <c r="J6" s="29">
        <f>0.2626+(F6-15643)/109000+0.0*$D$3+0.22608*$F$3</f>
        <v/>
      </c>
      <c r="K6" s="29">
        <f>0.0*$D$3+0.22608*$F$3</f>
        <v/>
      </c>
      <c r="L6" s="29">
        <f>G6-K6</f>
        <v/>
      </c>
      <c r="M6" s="30" t="n">
        <v>1660</v>
      </c>
      <c r="N6" s="31" t="inlineStr">
        <is>
          <t>live listings ~45k mi, $13,000-$17,500</t>
        </is>
      </c>
      <c r="O6" s="32" t="inlineStr">
        <is>
          <t>✓ supported 2022–23  (buy ~2023 ✓)</t>
        </is>
      </c>
      <c r="P6" s="33" t="n">
        <v>0.338</v>
      </c>
      <c r="Q6" s="34" t="n">
        <v>1</v>
      </c>
      <c r="R6" s="29" t="n">
        <v>0.289</v>
      </c>
      <c r="S6" s="29" t="n">
        <v>0.389</v>
      </c>
      <c r="T6" s="35" t="n">
        <v>0.6879999999999999</v>
      </c>
      <c r="U6" s="29" t="n">
        <v>0.125</v>
      </c>
      <c r="V6" s="30" t="n">
        <v>19441</v>
      </c>
      <c r="W6" s="36">
        <f>IFERROR(G6*INDEX('Charts data (helper)'!$BI$119:$DZ$128,MATCH($Q$3,'Charts data (helper)'!$BH$119:$BH$128,0),MATCH($B6,'Charts data (helper)'!$BI$118:$DZ$118,0))/INDEX('Charts data (helper)'!$BI$119:$DZ$128,MATCH(0.07,'Charts data (helper)'!$BH$119:$BH$128,0),MATCH($B6,'Charts data (helper)'!$BI$118:$DZ$118,0)),G6)</f>
        <v/>
      </c>
      <c r="X6" s="16">
        <f>RANK(W6,$W$6:$W$76,1)</f>
        <v/>
      </c>
    </row>
    <row r="7">
      <c r="A7" s="16" t="n">
        <v>2</v>
      </c>
      <c r="B7" s="27" t="inlineStr">
        <is>
          <t>Chevy Volt</t>
        </is>
      </c>
      <c r="C7" s="16" t="inlineStr">
        <is>
          <t>PHEV</t>
        </is>
      </c>
      <c r="D7" s="16" t="inlineStr">
        <is>
          <t>plug-in</t>
        </is>
      </c>
      <c r="E7" s="8" t="inlineStr">
        <is>
          <t>55k mi → ~2019</t>
        </is>
      </c>
      <c r="F7" s="28" t="n">
        <v>15143</v>
      </c>
      <c r="G7" s="14">
        <f>0.2552+(F7-15143)/145200+0.00334*$D$3+0.19367*$F$3</f>
        <v/>
      </c>
      <c r="H7" s="29">
        <f>0.2731+(F7-15143)/145200+0.00334*$D$3+0.19367*$F$3</f>
        <v/>
      </c>
      <c r="I7" s="29">
        <f>0.2902+(F7-15143)/145200+0.00334*$D$3+0.19367*$F$3</f>
        <v/>
      </c>
      <c r="J7" s="29">
        <f>0.2787+(F7-15143)/99000+0.00334*$D$3+0.19367*$F$3</f>
        <v/>
      </c>
      <c r="K7" s="29">
        <f>0.00334*$D$3+0.19367*$F$3</f>
        <v/>
      </c>
      <c r="L7" s="29">
        <f>G7-K7</f>
        <v/>
      </c>
      <c r="M7" s="30" t="n">
        <v>1440</v>
      </c>
      <c r="N7" s="31" t="inlineStr">
        <is>
          <t>live listings ~55k mi, $12,500-$17,000</t>
        </is>
      </c>
      <c r="O7" s="37" t="inlineStr">
        <is>
          <t>✗ not on current list</t>
        </is>
      </c>
      <c r="P7" s="33" t="n">
        <v>0.35</v>
      </c>
      <c r="Q7" s="34" t="n">
        <v>1</v>
      </c>
      <c r="R7" s="29" t="n">
        <v>0.307</v>
      </c>
      <c r="S7" s="29" t="n">
        <v>0.385</v>
      </c>
      <c r="T7" s="35" t="n">
        <v>0.697</v>
      </c>
      <c r="U7" s="29" t="n">
        <v>0.118</v>
      </c>
      <c r="V7" s="30" t="n">
        <v>17098</v>
      </c>
      <c r="W7" s="36">
        <f>IFERROR(G7*INDEX('Charts data (helper)'!$BI$119:$DZ$128,MATCH($Q$3,'Charts data (helper)'!$BH$119:$BH$128,0),MATCH($B7,'Charts data (helper)'!$BI$118:$DZ$118,0))/INDEX('Charts data (helper)'!$BI$119:$DZ$128,MATCH(0.07,'Charts data (helper)'!$BH$119:$BH$128,0),MATCH($B7,'Charts data (helper)'!$BI$118:$DZ$118,0)),G7)</f>
        <v/>
      </c>
      <c r="X7" s="16">
        <f>RANK(W7,$W$6:$W$76,1)</f>
        <v/>
      </c>
    </row>
    <row r="8">
      <c r="A8" s="16" t="n">
        <v>3</v>
      </c>
      <c r="B8" s="32" t="inlineStr">
        <is>
          <t>Toyota Prius (hybrid)</t>
        </is>
      </c>
      <c r="C8" s="16" t="inlineStr">
        <is>
          <t>Car</t>
        </is>
      </c>
      <c r="D8" s="16" t="inlineStr">
        <is>
          <t>hybrid</t>
        </is>
      </c>
      <c r="E8" s="8" t="inlineStr">
        <is>
          <t>40k mi → ~2023</t>
        </is>
      </c>
      <c r="F8" s="28" t="n">
        <v>26000</v>
      </c>
      <c r="G8" s="14">
        <f>0.2866+(F8-26000)/209600+0.01217*$D$3+0.0*$F$3</f>
        <v/>
      </c>
      <c r="H8" s="29">
        <f>0.2995+(F8-26000)/209600+0.01217*$D$3+0.0*$F$3</f>
        <v/>
      </c>
      <c r="I8" s="29">
        <f>0.312+(F8-26000)/209600+0.01217*$D$3+0.0*$F$3</f>
        <v/>
      </c>
      <c r="J8" s="29">
        <f>0.3239+(F8-26000)/152000+0.01217*$D$3+0.0*$F$3</f>
        <v/>
      </c>
      <c r="K8" s="29">
        <f>0.01217*$D$3+0.0*$F$3</f>
        <v/>
      </c>
      <c r="L8" s="29">
        <f>G8-K8</f>
        <v/>
      </c>
      <c r="M8" s="30" t="n">
        <v>1800</v>
      </c>
      <c r="N8" s="31" t="inlineStr">
        <is>
          <t>live listings ~40k mi, $22,000-$29,500</t>
        </is>
      </c>
      <c r="O8" s="38" t="inlineStr">
        <is>
          <t>◑ supported 2016–22  (buy ~2023 OUTSIDE range — pick a 2016-2022 example instead)</t>
        </is>
      </c>
      <c r="P8" s="33" t="n">
        <v>0.348</v>
      </c>
      <c r="Q8" s="34" t="n">
        <v>1</v>
      </c>
      <c r="R8" s="29" t="n">
        <v>0.321</v>
      </c>
      <c r="S8" s="29" t="n">
        <v>0.387</v>
      </c>
      <c r="T8" s="35" t="n">
        <v>0.65</v>
      </c>
      <c r="U8" s="29" t="n">
        <v>0.245</v>
      </c>
      <c r="V8" s="30" t="n">
        <v>51398</v>
      </c>
      <c r="W8" s="36">
        <f>IFERROR(G8*INDEX('Charts data (helper)'!$BI$119:$DZ$128,MATCH($Q$3,'Charts data (helper)'!$BH$119:$BH$128,0),MATCH($B8,'Charts data (helper)'!$BI$118:$DZ$118,0))/INDEX('Charts data (helper)'!$BI$119:$DZ$128,MATCH(0.07,'Charts data (helper)'!$BH$119:$BH$128,0),MATCH($B8,'Charts data (helper)'!$BI$118:$DZ$118,0)),G8)</f>
        <v/>
      </c>
      <c r="X8" s="16">
        <f>RANK(W8,$W$6:$W$76,1)</f>
        <v/>
      </c>
    </row>
    <row r="9">
      <c r="A9" s="16" t="n">
        <v>4</v>
      </c>
      <c r="B9" s="27" t="inlineStr">
        <is>
          <t>Toyota Prius Prime</t>
        </is>
      </c>
      <c r="C9" s="16" t="inlineStr">
        <is>
          <t>PHEV</t>
        </is>
      </c>
      <c r="D9" s="16" t="inlineStr">
        <is>
          <t>plug-in</t>
        </is>
      </c>
      <c r="E9" s="8" t="inlineStr">
        <is>
          <t>90k mi → ~2019</t>
        </is>
      </c>
      <c r="F9" s="28" t="n">
        <v>15000</v>
      </c>
      <c r="G9" s="14">
        <f>0.298+(F9-15000)/145300+0.00585*$D$3+0.10735*$F$3</f>
        <v/>
      </c>
      <c r="H9" s="29">
        <f>0.3161+(F9-15000)/145300+0.00585*$D$3+0.10735*$F$3</f>
        <v/>
      </c>
      <c r="I9" s="29">
        <f>0.3355+(F9-15000)/145300+0.00585*$D$3+0.10735*$F$3</f>
        <v/>
      </c>
      <c r="J9" s="29">
        <f>0.3358+(F9-15000)/91000+0.00585*$D$3+0.10735*$F$3</f>
        <v/>
      </c>
      <c r="K9" s="29">
        <f>0.00585*$D$3+0.10735*$F$3</f>
        <v/>
      </c>
      <c r="L9" s="29">
        <f>G9-K9</f>
        <v/>
      </c>
      <c r="M9" s="30" t="n">
        <v>1920</v>
      </c>
      <c r="N9" s="31" t="inlineStr">
        <is>
          <t>live listings ~90k mi, $12,500-$17,000</t>
        </is>
      </c>
      <c r="O9" s="32" t="inlineStr">
        <is>
          <t>✓ supported 2017–22  (buy ~2019 ✓)</t>
        </is>
      </c>
      <c r="P9" s="33" t="n">
        <v>0.37</v>
      </c>
      <c r="Q9" s="39" t="n">
        <v>2</v>
      </c>
      <c r="R9" s="29" t="n">
        <v>0.33</v>
      </c>
      <c r="S9" s="29" t="n">
        <v>0.415</v>
      </c>
      <c r="T9" s="35" t="n">
        <v>0.549</v>
      </c>
      <c r="U9" s="29" t="n">
        <v>0.117</v>
      </c>
      <c r="V9" s="30" t="n">
        <v>16953</v>
      </c>
      <c r="W9" s="36">
        <f>IFERROR(G9*INDEX('Charts data (helper)'!$BI$119:$DZ$128,MATCH($Q$3,'Charts data (helper)'!$BH$119:$BH$128,0),MATCH($B9,'Charts data (helper)'!$BI$118:$DZ$118,0))/INDEX('Charts data (helper)'!$BI$119:$DZ$128,MATCH(0.07,'Charts data (helper)'!$BH$119:$BH$128,0),MATCH($B9,'Charts data (helper)'!$BI$118:$DZ$118,0)),G9)</f>
        <v/>
      </c>
      <c r="X9" s="16">
        <f>RANK(W9,$W$6:$W$76,1)</f>
        <v/>
      </c>
    </row>
    <row r="10">
      <c r="A10" s="16" t="n">
        <v>5</v>
      </c>
      <c r="B10" s="32" t="inlineStr">
        <is>
          <t>Toyota Corolla</t>
        </is>
      </c>
      <c r="C10" s="16" t="inlineStr">
        <is>
          <t>Car</t>
        </is>
      </c>
      <c r="D10" s="16" t="inlineStr">
        <is>
          <t>gas</t>
        </is>
      </c>
      <c r="E10" s="8" t="inlineStr">
        <is>
          <t>55k mi → ~2022</t>
        </is>
      </c>
      <c r="F10" s="28" t="n">
        <v>17659</v>
      </c>
      <c r="G10" s="14">
        <f>0.2577+(F10-17659)/194600+0.02028*$D$3+0.0*$F$3</f>
        <v/>
      </c>
      <c r="H10" s="29">
        <f>0.2706+(F10-17659)/194600+0.02028*$D$3+0.0*$F$3</f>
        <v/>
      </c>
      <c r="I10" s="29">
        <f>0.2823+(F10-17659)/194600+0.02028*$D$3+0.0*$F$3</f>
        <v/>
      </c>
      <c r="J10" s="29">
        <f>0.2866+(F10-17659)/137000+0.02028*$D$3+0.0*$F$3</f>
        <v/>
      </c>
      <c r="K10" s="29">
        <f>0.02028*$D$3+0.0*$F$3</f>
        <v/>
      </c>
      <c r="L10" s="29">
        <f>G10-K10</f>
        <v/>
      </c>
      <c r="M10" s="30" t="n">
        <v>1920</v>
      </c>
      <c r="N10" s="31" t="inlineStr">
        <is>
          <t>live listings ~55k mi, $15,000-$20,000</t>
        </is>
      </c>
      <c r="O10" s="32" t="inlineStr">
        <is>
          <t>✓ supported 2017–22  (buy ~2022 ✓)</t>
        </is>
      </c>
      <c r="P10" s="33" t="n">
        <v>0.364</v>
      </c>
      <c r="Q10" s="39" t="n">
        <v>2</v>
      </c>
      <c r="R10" s="29" t="n">
        <v>0.339</v>
      </c>
      <c r="S10" s="29" t="n">
        <v>0.402</v>
      </c>
      <c r="T10" s="35" t="n">
        <v>0.502</v>
      </c>
      <c r="U10" s="29" t="n">
        <v>0.159</v>
      </c>
      <c r="V10" s="30" t="n">
        <v>30962</v>
      </c>
      <c r="W10" s="36">
        <f>IFERROR(G10*INDEX('Charts data (helper)'!$BI$119:$DZ$128,MATCH($Q$3,'Charts data (helper)'!$BH$119:$BH$128,0),MATCH($B10,'Charts data (helper)'!$BI$118:$DZ$118,0))/INDEX('Charts data (helper)'!$BI$119:$DZ$128,MATCH(0.07,'Charts data (helper)'!$BH$119:$BH$128,0),MATCH($B10,'Charts data (helper)'!$BI$118:$DZ$118,0)),G10)</f>
        <v/>
      </c>
      <c r="X10" s="16">
        <f>RANK(W10,$W$6:$W$76,1)</f>
        <v/>
      </c>
    </row>
    <row r="11">
      <c r="A11" s="16" t="n">
        <v>6</v>
      </c>
      <c r="B11" s="32" t="inlineStr">
        <is>
          <t>Toyota Camry Hybrid</t>
        </is>
      </c>
      <c r="C11" s="16" t="inlineStr">
        <is>
          <t>Car</t>
        </is>
      </c>
      <c r="D11" s="16" t="inlineStr">
        <is>
          <t>hybrid</t>
        </is>
      </c>
      <c r="E11" s="8" t="inlineStr">
        <is>
          <t>80k mi → ~2020</t>
        </is>
      </c>
      <c r="F11" s="28" t="n">
        <v>16500</v>
      </c>
      <c r="G11" s="14">
        <f>0.2821+(F11-16500)/169600+0.01581*$D$3+0.0*$F$3</f>
        <v/>
      </c>
      <c r="H11" s="29">
        <f>0.2974+(F11-16500)/169600+0.01581*$D$3+0.0*$F$3</f>
        <v/>
      </c>
      <c r="I11" s="29">
        <f>0.3139+(F11-16500)/169600+0.01581*$D$3+0.0*$F$3</f>
        <v/>
      </c>
      <c r="J11" s="29">
        <f>0.3156+(F11-16500)/112000+0.01581*$D$3+0.0*$F$3</f>
        <v/>
      </c>
      <c r="K11" s="29">
        <f>0.01581*$D$3+0.0*$F$3</f>
        <v/>
      </c>
      <c r="L11" s="29">
        <f>G11-K11</f>
        <v/>
      </c>
      <c r="M11" s="30" t="n">
        <v>1920</v>
      </c>
      <c r="N11" s="31" t="inlineStr">
        <is>
          <t>live listings ~80k mi, $14,000-$18,500</t>
        </is>
      </c>
      <c r="O11" s="32" t="inlineStr">
        <is>
          <t>✓ supported 2018–24  (buy ~2020 ✓)</t>
        </is>
      </c>
      <c r="P11" s="33" t="n">
        <v>0.367</v>
      </c>
      <c r="Q11" s="39" t="n">
        <v>2</v>
      </c>
      <c r="R11" s="29" t="n">
        <v>0.335</v>
      </c>
      <c r="S11" s="29" t="n">
        <v>0.411</v>
      </c>
      <c r="T11" s="35" t="n">
        <v>0.711</v>
      </c>
      <c r="U11" s="29" t="n">
        <v>0.138</v>
      </c>
      <c r="V11" s="30" t="n">
        <v>23387</v>
      </c>
      <c r="W11" s="36">
        <f>IFERROR(G11*INDEX('Charts data (helper)'!$BI$119:$DZ$128,MATCH($Q$3,'Charts data (helper)'!$BH$119:$BH$128,0),MATCH($B11,'Charts data (helper)'!$BI$118:$DZ$118,0))/INDEX('Charts data (helper)'!$BI$119:$DZ$128,MATCH(0.07,'Charts data (helper)'!$BH$119:$BH$128,0),MATCH($B11,'Charts data (helper)'!$BI$118:$DZ$118,0)),G11)</f>
        <v/>
      </c>
      <c r="X11" s="16">
        <f>RANK(W11,$W$6:$W$76,1)</f>
        <v/>
      </c>
    </row>
    <row r="12">
      <c r="A12" s="16" t="n">
        <v>7</v>
      </c>
      <c r="B12" s="8" t="inlineStr">
        <is>
          <t>Honda Civic</t>
        </is>
      </c>
      <c r="C12" s="16" t="inlineStr">
        <is>
          <t>Car</t>
        </is>
      </c>
      <c r="D12" s="16" t="inlineStr">
        <is>
          <t>gas</t>
        </is>
      </c>
      <c r="E12" s="8" t="inlineStr">
        <is>
          <t>35k mi → ~2023</t>
        </is>
      </c>
      <c r="F12" s="28" t="n">
        <v>23789</v>
      </c>
      <c r="G12" s="14">
        <f>0.2792+(F12-23789)/200300+0.0194*$D$3+0.0*$F$3</f>
        <v/>
      </c>
      <c r="H12" s="29">
        <f>0.2907+(F12-23789)/200300+0.0194*$D$3+0.0*$F$3</f>
        <v/>
      </c>
      <c r="I12" s="29">
        <f>0.3028+(F12-23789)/200300+0.0194*$D$3+0.0*$F$3</f>
        <v/>
      </c>
      <c r="J12" s="29">
        <f>0.314+(F12-23789)/146000+0.0194*$D$3+0.0*$F$3</f>
        <v/>
      </c>
      <c r="K12" s="29">
        <f>0.0194*$D$3+0.0*$F$3</f>
        <v/>
      </c>
      <c r="L12" s="29">
        <f>G12-K12</f>
        <v/>
      </c>
      <c r="M12" s="30" t="n">
        <v>1840</v>
      </c>
      <c r="N12" s="31" t="inlineStr">
        <is>
          <t>live listings ~35k mi, $20,000-$27,000</t>
        </is>
      </c>
      <c r="O12" s="32" t="inlineStr">
        <is>
          <t>✓ supported 2016–24  (buy ~2023 ✓)</t>
        </is>
      </c>
      <c r="P12" s="33" t="n">
        <v>0.38</v>
      </c>
      <c r="Q12" s="39" t="n">
        <v>2</v>
      </c>
      <c r="R12" s="29" t="n">
        <v>0.357</v>
      </c>
      <c r="S12" s="29" t="n">
        <v>0.417</v>
      </c>
      <c r="T12" s="35" t="n">
        <v>0.506</v>
      </c>
      <c r="U12" s="29" t="n">
        <v>0.218</v>
      </c>
      <c r="V12" s="30" t="n">
        <v>43682</v>
      </c>
      <c r="W12" s="36">
        <f>IFERROR(G12*INDEX('Charts data (helper)'!$BI$119:$DZ$128,MATCH($Q$3,'Charts data (helper)'!$BH$119:$BH$128,0),MATCH($B12,'Charts data (helper)'!$BI$118:$DZ$118,0))/INDEX('Charts data (helper)'!$BI$119:$DZ$128,MATCH(0.07,'Charts data (helper)'!$BH$119:$BH$128,0),MATCH($B12,'Charts data (helper)'!$BI$118:$DZ$118,0)),G12)</f>
        <v/>
      </c>
      <c r="X12" s="16">
        <f>RANK(W12,$W$6:$W$76,1)</f>
        <v/>
      </c>
    </row>
    <row r="13">
      <c r="A13" s="16" t="n">
        <v>8</v>
      </c>
      <c r="B13" s="27" t="inlineStr">
        <is>
          <t>Nissan Leaf</t>
        </is>
      </c>
      <c r="C13" s="16" t="inlineStr">
        <is>
          <t>EV</t>
        </is>
      </c>
      <c r="D13" s="16" t="inlineStr">
        <is>
          <t>electric</t>
        </is>
      </c>
      <c r="E13" s="8" t="inlineStr">
        <is>
          <t>45k mi → ~2023</t>
        </is>
      </c>
      <c r="F13" s="28" t="n">
        <v>11667</v>
      </c>
      <c r="G13" s="14">
        <f>0.2967+(F13-11667)/95400+0.0*$D$3+0.27831*$F$3</f>
        <v/>
      </c>
      <c r="H13" s="29">
        <f>0.3333+(F13-11667)/95400+0.0*$D$3+0.27831*$F$3</f>
        <v/>
      </c>
      <c r="I13" s="29">
        <f>0.364+(F13-11667)/95400+0.0*$D$3+0.27831*$F$3</f>
        <v/>
      </c>
      <c r="J13" s="29">
        <f>0.3304+(F13-11667)/63000+0.0*$D$3+0.27831*$F$3</f>
        <v/>
      </c>
      <c r="K13" s="29">
        <f>0.0*$D$3+0.27831*$F$3</f>
        <v/>
      </c>
      <c r="L13" s="29">
        <f>G13-K13</f>
        <v/>
      </c>
      <c r="M13" s="30" t="n">
        <v>1760</v>
      </c>
      <c r="N13" s="31" t="inlineStr">
        <is>
          <t>live listings ~45k mi, $9,500-$13,000</t>
        </is>
      </c>
      <c r="O13" s="32" t="inlineStr">
        <is>
          <t>✓ supported 2018–23  (buy ~2023 ✓)</t>
        </is>
      </c>
      <c r="P13" s="33" t="n">
        <v>0.419</v>
      </c>
      <c r="Q13" s="39" t="n">
        <v>2</v>
      </c>
      <c r="R13" s="29" t="n">
        <v>0.339</v>
      </c>
      <c r="S13" s="29" t="n">
        <v>0.473</v>
      </c>
      <c r="T13" s="35" t="n">
        <v>0.537</v>
      </c>
      <c r="U13" s="29" t="n">
        <v>0.079</v>
      </c>
      <c r="V13" s="30" t="n">
        <v>7501</v>
      </c>
      <c r="W13" s="36">
        <f>IFERROR(G13*INDEX('Charts data (helper)'!$BI$119:$DZ$128,MATCH($Q$3,'Charts data (helper)'!$BH$119:$BH$128,0),MATCH($B13,'Charts data (helper)'!$BI$118:$DZ$118,0))/INDEX('Charts data (helper)'!$BI$119:$DZ$128,MATCH(0.07,'Charts data (helper)'!$BH$119:$BH$128,0),MATCH($B13,'Charts data (helper)'!$BI$118:$DZ$118,0)),G13)</f>
        <v/>
      </c>
      <c r="X13" s="16">
        <f>RANK(W13,$W$6:$W$76,1)</f>
        <v/>
      </c>
    </row>
    <row r="14">
      <c r="A14" s="16" t="n">
        <v>9</v>
      </c>
      <c r="B14" s="8" t="inlineStr">
        <is>
          <t>Hyundai Elantra</t>
        </is>
      </c>
      <c r="C14" s="16" t="inlineStr">
        <is>
          <t>Car</t>
        </is>
      </c>
      <c r="D14" s="16" t="inlineStr">
        <is>
          <t>gas</t>
        </is>
      </c>
      <c r="E14" s="8" t="inlineStr">
        <is>
          <t>45k mi → ~2023</t>
        </is>
      </c>
      <c r="F14" s="28" t="n">
        <v>16000</v>
      </c>
      <c r="G14" s="14">
        <f>0.2829+(F14-16000)/155200+0.0196*$D$3+0.0*$F$3</f>
        <v/>
      </c>
      <c r="H14" s="29">
        <f>0.2992+(F14-16000)/155200+0.0196*$D$3+0.0*$F$3</f>
        <v/>
      </c>
      <c r="I14" s="29">
        <f>0.3156+(F14-16000)/155200+0.0196*$D$3+0.0*$F$3</f>
        <v/>
      </c>
      <c r="J14" s="29">
        <f>0.3125+(F14-16000)/109000+0.0196*$D$3+0.0*$F$3</f>
        <v/>
      </c>
      <c r="K14" s="29">
        <f>0.0196*$D$3+0.0*$F$3</f>
        <v/>
      </c>
      <c r="L14" s="29">
        <f>G14-K14</f>
        <v/>
      </c>
      <c r="M14" s="30" t="n">
        <v>1640</v>
      </c>
      <c r="N14" s="31" t="inlineStr">
        <is>
          <t>live listings ~45k mi, $13,500-$18,000</t>
        </is>
      </c>
      <c r="O14" s="38" t="inlineStr">
        <is>
          <t>◑ Hyundai/Kia SCC, select yrs</t>
        </is>
      </c>
      <c r="P14" s="33" t="n">
        <v>0.385</v>
      </c>
      <c r="Q14" s="39" t="n">
        <v>2</v>
      </c>
      <c r="R14" s="29" t="n">
        <v>0.357</v>
      </c>
      <c r="S14" s="29" t="n">
        <v>0.432</v>
      </c>
      <c r="T14" s="35" t="n">
        <v>0.477</v>
      </c>
      <c r="U14" s="29" t="n">
        <v>0.128</v>
      </c>
      <c r="V14" s="30" t="n">
        <v>19885</v>
      </c>
      <c r="W14" s="36">
        <f>IFERROR(G14*INDEX('Charts data (helper)'!$BI$119:$DZ$128,MATCH($Q$3,'Charts data (helper)'!$BH$119:$BH$128,0),MATCH($B14,'Charts data (helper)'!$BI$118:$DZ$118,0))/INDEX('Charts data (helper)'!$BI$119:$DZ$128,MATCH(0.07,'Charts data (helper)'!$BH$119:$BH$128,0),MATCH($B14,'Charts data (helper)'!$BI$118:$DZ$118,0)),G14)</f>
        <v/>
      </c>
      <c r="X14" s="16">
        <f>RANK(W14,$W$6:$W$76,1)</f>
        <v/>
      </c>
    </row>
    <row r="15">
      <c r="A15" s="16" t="n">
        <v>10</v>
      </c>
      <c r="B15" s="8" t="inlineStr">
        <is>
          <t>Honda Accord</t>
        </is>
      </c>
      <c r="C15" s="16" t="inlineStr">
        <is>
          <t>Car</t>
        </is>
      </c>
      <c r="D15" s="16" t="inlineStr">
        <is>
          <t>gas</t>
        </is>
      </c>
      <c r="E15" s="8" t="inlineStr">
        <is>
          <t>70k mi → ~2021</t>
        </is>
      </c>
      <c r="F15" s="28" t="n">
        <v>16143</v>
      </c>
      <c r="G15" s="14">
        <f>0.2732+(F15-16143)/170500+0.02138*$D$3+0.0*$F$3</f>
        <v/>
      </c>
      <c r="H15" s="29">
        <f>0.2871+(F15-16143)/170500+0.02138*$D$3+0.0*$F$3</f>
        <v/>
      </c>
      <c r="I15" s="29">
        <f>0.3001+(F15-16143)/170500+0.02138*$D$3+0.0*$F$3</f>
        <v/>
      </c>
      <c r="J15" s="29">
        <f>0.3044+(F15-16143)/115000+0.02138*$D$3+0.0*$F$3</f>
        <v/>
      </c>
      <c r="K15" s="29">
        <f>0.02138*$D$3+0.0*$F$3</f>
        <v/>
      </c>
      <c r="L15" s="29">
        <f>G15-K15</f>
        <v/>
      </c>
      <c r="M15" s="30" t="n">
        <v>1840</v>
      </c>
      <c r="N15" s="31" t="inlineStr">
        <is>
          <t>live listings ~70k mi, $13,500-$18,500</t>
        </is>
      </c>
      <c r="O15" s="32" t="inlineStr">
        <is>
          <t>✓ supported 2018–25  (buy ~2021 ✓)</t>
        </is>
      </c>
      <c r="P15" s="33" t="n">
        <v>0.386</v>
      </c>
      <c r="Q15" s="39" t="n">
        <v>2</v>
      </c>
      <c r="R15" s="29" t="n">
        <v>0.355</v>
      </c>
      <c r="S15" s="29" t="n">
        <v>0.425</v>
      </c>
      <c r="T15" s="35" t="n">
        <v>0.613</v>
      </c>
      <c r="U15" s="29" t="n">
        <v>0.135</v>
      </c>
      <c r="V15" s="30" t="n">
        <v>23064</v>
      </c>
      <c r="W15" s="36">
        <f>IFERROR(G15*INDEX('Charts data (helper)'!$BI$119:$DZ$128,MATCH($Q$3,'Charts data (helper)'!$BH$119:$BH$128,0),MATCH($B15,'Charts data (helper)'!$BI$118:$DZ$118,0))/INDEX('Charts data (helper)'!$BI$119:$DZ$128,MATCH(0.07,'Charts data (helper)'!$BH$119:$BH$128,0),MATCH($B15,'Charts data (helper)'!$BI$118:$DZ$118,0)),G15)</f>
        <v/>
      </c>
      <c r="X15" s="16">
        <f>RANK(W15,$W$6:$W$76,1)</f>
        <v/>
      </c>
    </row>
    <row r="16">
      <c r="A16" s="16" t="n">
        <v>11</v>
      </c>
      <c r="B16" s="8" t="inlineStr">
        <is>
          <t>Kia K4</t>
        </is>
      </c>
      <c r="C16" s="16" t="inlineStr">
        <is>
          <t>Car</t>
        </is>
      </c>
      <c r="D16" s="16" t="inlineStr">
        <is>
          <t>gas</t>
        </is>
      </c>
      <c r="E16" s="8" t="inlineStr">
        <is>
          <t>18k mi → ~2025</t>
        </is>
      </c>
      <c r="F16" s="28" t="n">
        <v>20125</v>
      </c>
      <c r="G16" s="14">
        <f>0.2898+(F16-20125)/171800+0.01944*$D$3+0.0*$F$3</f>
        <v/>
      </c>
      <c r="H16" s="29">
        <f>0.3041+(F16-20125)/171800+0.01944*$D$3+0.0*$F$3</f>
        <v/>
      </c>
      <c r="I16" s="29">
        <f>0.319+(F16-20125)/171800+0.01944*$D$3+0.0*$F$3</f>
        <v/>
      </c>
      <c r="J16" s="29">
        <f>0.3175+(F16-20125)/128000+0.01944*$D$3+0.0*$F$3</f>
        <v/>
      </c>
      <c r="K16" s="29">
        <f>0.01944*$D$3+0.0*$F$3</f>
        <v/>
      </c>
      <c r="L16" s="29">
        <f>G16-K16</f>
        <v/>
      </c>
      <c r="M16" s="30" t="n">
        <v>1640</v>
      </c>
      <c r="N16" s="31" t="inlineStr">
        <is>
          <t>live listings ~18k mi, $17,000-$23,000</t>
        </is>
      </c>
      <c r="O16" s="37" t="inlineStr">
        <is>
          <t>✗ too new — not yet on the comma/openpilot list</t>
        </is>
      </c>
      <c r="P16" s="33" t="n">
        <v>0.391</v>
      </c>
      <c r="Q16" s="39" t="n">
        <v>2</v>
      </c>
      <c r="R16" s="29" t="n">
        <v>0.369</v>
      </c>
      <c r="S16" s="29" t="n">
        <v>0.436</v>
      </c>
      <c r="T16" s="35" t="n">
        <v>0.501</v>
      </c>
      <c r="U16" s="29" t="n">
        <v>0.169</v>
      </c>
      <c r="V16" s="30" t="n">
        <v>29085</v>
      </c>
      <c r="W16" s="36">
        <f>IFERROR(G16*INDEX('Charts data (helper)'!$BI$119:$DZ$128,MATCH($Q$3,'Charts data (helper)'!$BH$119:$BH$128,0),MATCH($B16,'Charts data (helper)'!$BI$118:$DZ$118,0))/INDEX('Charts data (helper)'!$BI$119:$DZ$128,MATCH(0.07,'Charts data (helper)'!$BH$119:$BH$128,0),MATCH($B16,'Charts data (helper)'!$BI$118:$DZ$118,0)),G16)</f>
        <v/>
      </c>
      <c r="X16" s="16">
        <f>RANK(W16,$W$6:$W$76,1)</f>
        <v/>
      </c>
    </row>
    <row r="17">
      <c r="A17" s="16" t="n">
        <v>12</v>
      </c>
      <c r="B17" s="8" t="inlineStr">
        <is>
          <t>Mazda3 (SkyActiv)</t>
        </is>
      </c>
      <c r="C17" s="16" t="inlineStr">
        <is>
          <t>Car</t>
        </is>
      </c>
      <c r="D17" s="16" t="inlineStr">
        <is>
          <t>gas</t>
        </is>
      </c>
      <c r="E17" s="8" t="inlineStr">
        <is>
          <t>65k mi → ~2021</t>
        </is>
      </c>
      <c r="F17" s="28" t="n">
        <v>15000</v>
      </c>
      <c r="G17" s="14">
        <f>0.2687+(F17-15000)/145600+0.02337*$D$3+0.0*$F$3</f>
        <v/>
      </c>
      <c r="H17" s="29">
        <f>0.2869+(F17-15000)/145600+0.02337*$D$3+0.0*$F$3</f>
        <v/>
      </c>
      <c r="I17" s="29">
        <f>0.3042+(F17-15000)/145600+0.02337*$D$3+0.0*$F$3</f>
        <v/>
      </c>
      <c r="J17" s="29">
        <f>0.3131+(F17-15000)/97000+0.02337*$D$3+0.0*$F$3</f>
        <v/>
      </c>
      <c r="K17" s="29">
        <f>0.02337*$D$3+0.0*$F$3</f>
        <v/>
      </c>
      <c r="L17" s="29">
        <f>G17-K17</f>
        <v/>
      </c>
      <c r="M17" s="30" t="n">
        <v>1720</v>
      </c>
      <c r="N17" s="31" t="inlineStr">
        <is>
          <t>live listings ~65k mi, $12,500-$17,000</t>
        </is>
      </c>
      <c r="O17" s="37" t="inlineStr">
        <is>
          <t>✗ not on list (only CX-5/CX-9)</t>
        </is>
      </c>
      <c r="P17" s="33" t="n">
        <v>0.395</v>
      </c>
      <c r="Q17" s="39" t="n">
        <v>2</v>
      </c>
      <c r="R17" s="29" t="n">
        <v>0.364</v>
      </c>
      <c r="S17" s="29" t="n">
        <v>0.441</v>
      </c>
      <c r="T17" s="35" t="n">
        <v>0.494</v>
      </c>
      <c r="U17" s="29" t="n">
        <v>0.117</v>
      </c>
      <c r="V17" s="30" t="n">
        <v>17003</v>
      </c>
      <c r="W17" s="36">
        <f>IFERROR(G17*INDEX('Charts data (helper)'!$BI$119:$DZ$128,MATCH($Q$3,'Charts data (helper)'!$BH$119:$BH$128,0),MATCH($B17,'Charts data (helper)'!$BI$118:$DZ$118,0))/INDEX('Charts data (helper)'!$BI$119:$DZ$128,MATCH(0.07,'Charts data (helper)'!$BH$119:$BH$128,0),MATCH($B17,'Charts data (helper)'!$BI$118:$DZ$118,0)),G17)</f>
        <v/>
      </c>
      <c r="X17" s="16">
        <f>RANK(W17,$W$6:$W$76,1)</f>
        <v/>
      </c>
    </row>
    <row r="18">
      <c r="A18" s="16" t="n">
        <v>13</v>
      </c>
      <c r="B18" s="8" t="inlineStr">
        <is>
          <t>Toyota Camry</t>
        </is>
      </c>
      <c r="C18" s="16" t="inlineStr">
        <is>
          <t>Car</t>
        </is>
      </c>
      <c r="D18" s="16" t="inlineStr">
        <is>
          <t>gas</t>
        </is>
      </c>
      <c r="E18" s="8" t="inlineStr">
        <is>
          <t>55k mi → ~2022</t>
        </is>
      </c>
      <c r="F18" s="28" t="n">
        <v>22400</v>
      </c>
      <c r="G18" s="14">
        <f>0.284+(F18-22400)/199800+0.02072*$D$3+0.0*$F$3</f>
        <v/>
      </c>
      <c r="H18" s="29">
        <f>0.2974+(F18-22400)/199800+0.02072*$D$3+0.0*$F$3</f>
        <v/>
      </c>
      <c r="I18" s="29">
        <f>0.3114+(F18-22400)/199800+0.02072*$D$3+0.0*$F$3</f>
        <v/>
      </c>
      <c r="J18" s="29">
        <f>0.322+(F18-22400)/141000+0.02072*$D$3+0.0*$F$3</f>
        <v/>
      </c>
      <c r="K18" s="29">
        <f>0.02072*$D$3+0.0*$F$3</f>
        <v/>
      </c>
      <c r="L18" s="29">
        <f>G18-K18</f>
        <v/>
      </c>
      <c r="M18" s="30" t="n">
        <v>1840</v>
      </c>
      <c r="N18" s="31" t="inlineStr">
        <is>
          <t>live listings ~55k mi, $19,000-$25,500</t>
        </is>
      </c>
      <c r="O18" s="32" t="inlineStr">
        <is>
          <t>✓ supported 2018–24  (buy ~2022 ✓)</t>
        </is>
      </c>
      <c r="P18" s="33" t="n">
        <v>0.388</v>
      </c>
      <c r="Q18" s="39" t="n">
        <v>2</v>
      </c>
      <c r="R18" s="29" t="n">
        <v>0.363</v>
      </c>
      <c r="S18" s="29" t="n">
        <v>0.436</v>
      </c>
      <c r="T18" s="35" t="n">
        <v>0.514</v>
      </c>
      <c r="U18" s="29" t="n">
        <v>0.205</v>
      </c>
      <c r="V18" s="30" t="n">
        <v>40966</v>
      </c>
      <c r="W18" s="36">
        <f>IFERROR(G18*INDEX('Charts data (helper)'!$BI$119:$DZ$128,MATCH($Q$3,'Charts data (helper)'!$BH$119:$BH$128,0),MATCH($B18,'Charts data (helper)'!$BI$118:$DZ$118,0))/INDEX('Charts data (helper)'!$BI$119:$DZ$128,MATCH(0.07,'Charts data (helper)'!$BH$119:$BH$128,0),MATCH($B18,'Charts data (helper)'!$BI$118:$DZ$118,0)),G18)</f>
        <v/>
      </c>
      <c r="X18" s="16">
        <f>RANK(W18,$W$6:$W$76,1)</f>
        <v/>
      </c>
    </row>
    <row r="19">
      <c r="A19" s="16" t="n">
        <v>14</v>
      </c>
      <c r="B19" s="8" t="inlineStr">
        <is>
          <t>Toyota RAV4 Hybrid</t>
        </is>
      </c>
      <c r="C19" s="16" t="inlineStr">
        <is>
          <t>SUV AWD</t>
        </is>
      </c>
      <c r="D19" s="16" t="inlineStr">
        <is>
          <t>hybrid</t>
        </is>
      </c>
      <c r="E19" s="8" t="inlineStr">
        <is>
          <t>40k mi → ~2023</t>
        </is>
      </c>
      <c r="F19" s="28" t="n">
        <v>30444</v>
      </c>
      <c r="G19" s="14">
        <f>0.3143+(F19-30444)/204400+0.01539*$D$3+0.0*$F$3</f>
        <v/>
      </c>
      <c r="H19" s="29">
        <f>0.3306+(F19-30444)/204400+0.01539*$D$3+0.0*$F$3</f>
        <v/>
      </c>
      <c r="I19" s="29">
        <f>0.3438+(F19-30444)/204400+0.01539*$D$3+0.0*$F$3</f>
        <v/>
      </c>
      <c r="J19" s="29">
        <f>0.3546+(F19-30444)/148000+0.01539*$D$3+0.0*$F$3</f>
        <v/>
      </c>
      <c r="K19" s="29">
        <f>0.01539*$D$3+0.0*$F$3</f>
        <v/>
      </c>
      <c r="L19" s="29">
        <f>G19-K19</f>
        <v/>
      </c>
      <c r="M19" s="30" t="n">
        <v>1800</v>
      </c>
      <c r="N19" s="31" t="inlineStr">
        <is>
          <t>live listings ~40k mi, $25,500-$35,000</t>
        </is>
      </c>
      <c r="O19" s="32" t="inlineStr">
        <is>
          <t>✓ supported 2016–25  (buy ~2023 ✓)</t>
        </is>
      </c>
      <c r="P19" s="33" t="n">
        <v>0.395</v>
      </c>
      <c r="Q19" s="39" t="n">
        <v>2</v>
      </c>
      <c r="R19" s="29" t="n">
        <v>0.359</v>
      </c>
      <c r="S19" s="29" t="n">
        <v>0.437</v>
      </c>
      <c r="T19" s="35" t="n">
        <v>0.5620000000000001</v>
      </c>
      <c r="U19" s="29" t="n">
        <v>0.283</v>
      </c>
      <c r="V19" s="30" t="n">
        <v>57764</v>
      </c>
      <c r="W19" s="36">
        <f>IFERROR(G19*INDEX('Charts data (helper)'!$BI$119:$DZ$128,MATCH($Q$3,'Charts data (helper)'!$BH$119:$BH$128,0),MATCH($B19,'Charts data (helper)'!$BI$118:$DZ$118,0))/INDEX('Charts data (helper)'!$BI$119:$DZ$128,MATCH(0.07,'Charts data (helper)'!$BH$119:$BH$128,0),MATCH($B19,'Charts data (helper)'!$BI$118:$DZ$118,0)),G19)</f>
        <v/>
      </c>
      <c r="X19" s="16">
        <f>RANK(W19,$W$6:$W$76,1)</f>
        <v/>
      </c>
    </row>
    <row r="20">
      <c r="A20" s="16" t="n">
        <v>15</v>
      </c>
      <c r="B20" s="8" t="inlineStr">
        <is>
          <t>Kia Niro (hybrid)</t>
        </is>
      </c>
      <c r="C20" s="16" t="inlineStr">
        <is>
          <t>SUV</t>
        </is>
      </c>
      <c r="D20" s="16" t="inlineStr">
        <is>
          <t>hybrid</t>
        </is>
      </c>
      <c r="E20" s="8" t="inlineStr">
        <is>
          <t>65k mi → ~2021</t>
        </is>
      </c>
      <c r="F20" s="28" t="n">
        <v>17000</v>
      </c>
      <c r="G20" s="14">
        <f>0.3229+(F20-17000)/140400+0.01448*$D$3+0.0*$F$3</f>
        <v/>
      </c>
      <c r="H20" s="29">
        <f>0.3431+(F20-17000)/140400+0.01448*$D$3+0.0*$F$3</f>
        <v/>
      </c>
      <c r="I20" s="29">
        <f>0.3637+(F20-17000)/140400+0.01448*$D$3+0.0*$F$3</f>
        <v/>
      </c>
      <c r="J20" s="29">
        <f>0.3588+(F20-17000)/93000+0.01448*$D$3+0.0*$F$3</f>
        <v/>
      </c>
      <c r="K20" s="29">
        <f>0.01448*$D$3+0.0*$F$3</f>
        <v/>
      </c>
      <c r="L20" s="29">
        <f>G20-K20</f>
        <v/>
      </c>
      <c r="M20" s="30" t="n">
        <v>1680</v>
      </c>
      <c r="N20" s="31" t="inlineStr">
        <is>
          <t>live listings ~65k mi, $14,000-$19,500</t>
        </is>
      </c>
      <c r="O20" s="38" t="inlineStr">
        <is>
          <t>◑ Hyundai/Kia SCC, select yrs</t>
        </is>
      </c>
      <c r="P20" s="33" t="n">
        <v>0.399</v>
      </c>
      <c r="Q20" s="40" t="n">
        <v>3</v>
      </c>
      <c r="R20" s="29" t="n">
        <v>0.367</v>
      </c>
      <c r="S20" s="29" t="n">
        <v>0.46</v>
      </c>
      <c r="T20" s="35" t="n">
        <v>0.594</v>
      </c>
      <c r="U20" s="29" t="n">
        <v>0.13</v>
      </c>
      <c r="V20" s="30" t="n">
        <v>18302</v>
      </c>
      <c r="W20" s="36">
        <f>IFERROR(G20*INDEX('Charts data (helper)'!$BI$119:$DZ$128,MATCH($Q$3,'Charts data (helper)'!$BH$119:$BH$128,0),MATCH($B20,'Charts data (helper)'!$BI$118:$DZ$118,0))/INDEX('Charts data (helper)'!$BI$119:$DZ$128,MATCH(0.07,'Charts data (helper)'!$BH$119:$BH$128,0),MATCH($B20,'Charts data (helper)'!$BI$118:$DZ$118,0)),G20)</f>
        <v/>
      </c>
      <c r="X20" s="16">
        <f>RANK(W20,$W$6:$W$76,1)</f>
        <v/>
      </c>
    </row>
    <row r="21">
      <c r="A21" s="16" t="n">
        <v>16</v>
      </c>
      <c r="B21" s="27" t="inlineStr">
        <is>
          <t>Tesla Model 3</t>
        </is>
      </c>
      <c r="C21" s="16" t="inlineStr">
        <is>
          <t>EV</t>
        </is>
      </c>
      <c r="D21" s="16" t="inlineStr">
        <is>
          <t>electric</t>
        </is>
      </c>
      <c r="E21" s="8" t="inlineStr">
        <is>
          <t>60k mi → ~2021</t>
        </is>
      </c>
      <c r="F21" s="28" t="n">
        <v>21500</v>
      </c>
      <c r="G21" s="14">
        <f>0.3531+(F21-21500)/170100+0.0*$D$3+0.18743*$F$3</f>
        <v/>
      </c>
      <c r="H21" s="29">
        <f>0.3827+(F21-21500)/170100+0.0*$D$3+0.18743*$F$3</f>
        <v/>
      </c>
      <c r="I21" s="29">
        <f>0.417+(F21-21500)/170100+0.0*$D$3+0.18743*$F$3</f>
        <v/>
      </c>
      <c r="J21" s="29">
        <f>0.3883+(F21-21500)/117000+0.0*$D$3+0.18743*$F$3</f>
        <v/>
      </c>
      <c r="K21" s="29">
        <f>0.0*$D$3+0.18743*$F$3</f>
        <v/>
      </c>
      <c r="L21" s="29">
        <f>G21-K21</f>
        <v/>
      </c>
      <c r="M21" s="30" t="n">
        <v>2480</v>
      </c>
      <c r="N21" s="31" t="inlineStr">
        <is>
          <t>live listings ~60k mi, $18,000-$24,500</t>
        </is>
      </c>
      <c r="O21" s="32" t="inlineStr">
        <is>
          <t>✓ supported 2019–25  (buy ~2021 ✓)</t>
        </is>
      </c>
      <c r="P21" s="33" t="n">
        <v>0.416</v>
      </c>
      <c r="Q21" s="40" t="n">
        <v>3</v>
      </c>
      <c r="R21" s="29" t="n">
        <v>0.367</v>
      </c>
      <c r="S21" s="29" t="n">
        <v>0.503</v>
      </c>
      <c r="T21" s="35" t="n">
        <v>0.575</v>
      </c>
      <c r="U21" s="29" t="n">
        <v>0.18</v>
      </c>
      <c r="V21" s="30" t="n">
        <v>30609</v>
      </c>
      <c r="W21" s="36">
        <f>IFERROR(G21*INDEX('Charts data (helper)'!$BI$119:$DZ$128,MATCH($Q$3,'Charts data (helper)'!$BH$119:$BH$128,0),MATCH($B21,'Charts data (helper)'!$BI$118:$DZ$118,0))/INDEX('Charts data (helper)'!$BI$119:$DZ$128,MATCH(0.07,'Charts data (helper)'!$BH$119:$BH$128,0),MATCH($B21,'Charts data (helper)'!$BI$118:$DZ$118,0)),G21)</f>
        <v/>
      </c>
      <c r="X21" s="16">
        <f>RANK(W21,$W$6:$W$76,1)</f>
        <v/>
      </c>
    </row>
    <row r="22">
      <c r="A22" s="16" t="n">
        <v>17</v>
      </c>
      <c r="B22" s="8" t="inlineStr">
        <is>
          <t>Hyundai Sonata</t>
        </is>
      </c>
      <c r="C22" s="16" t="inlineStr">
        <is>
          <t>Car</t>
        </is>
      </c>
      <c r="D22" s="16" t="inlineStr">
        <is>
          <t>gas</t>
        </is>
      </c>
      <c r="E22" s="8" t="inlineStr">
        <is>
          <t>60k mi → ~2021</t>
        </is>
      </c>
      <c r="F22" s="28" t="n">
        <v>15333</v>
      </c>
      <c r="G22" s="14">
        <f>0.2998+(F22-15333)/135000+0.02244*$D$3+0.0*$F$3</f>
        <v/>
      </c>
      <c r="H22" s="29">
        <f>0.319+(F22-15333)/135000+0.02244*$D$3+0.0*$F$3</f>
        <v/>
      </c>
      <c r="I22" s="29">
        <f>0.3381+(F22-15333)/135000+0.02244*$D$3+0.0*$F$3</f>
        <v/>
      </c>
      <c r="J22" s="29">
        <f>0.3359+(F22-15333)/90000+0.02244*$D$3+0.0*$F$3</f>
        <v/>
      </c>
      <c r="K22" s="29">
        <f>0.02244*$D$3+0.0*$F$3</f>
        <v/>
      </c>
      <c r="L22" s="29">
        <f>G22-K22</f>
        <v/>
      </c>
      <c r="M22" s="30" t="n">
        <v>1720</v>
      </c>
      <c r="N22" s="31" t="inlineStr">
        <is>
          <t>live listings ~60k mi, $13,000-$17,500</t>
        </is>
      </c>
      <c r="O22" s="38" t="inlineStr">
        <is>
          <t>◑ Hyundai/Kia SCC, select yrs</t>
        </is>
      </c>
      <c r="P22" s="33" t="n">
        <v>0.423</v>
      </c>
      <c r="Q22" s="40" t="n">
        <v>3</v>
      </c>
      <c r="R22" s="29" t="n">
        <v>0.387</v>
      </c>
      <c r="S22" s="29" t="n">
        <v>0.478</v>
      </c>
      <c r="T22" s="35" t="n">
        <v>0.604</v>
      </c>
      <c r="U22" s="29" t="n">
        <v>0.116</v>
      </c>
      <c r="V22" s="30" t="n">
        <v>15625</v>
      </c>
      <c r="W22" s="36">
        <f>IFERROR(G22*INDEX('Charts data (helper)'!$BI$119:$DZ$128,MATCH($Q$3,'Charts data (helper)'!$BH$119:$BH$128,0),MATCH($B22,'Charts data (helper)'!$BI$118:$DZ$118,0))/INDEX('Charts data (helper)'!$BI$119:$DZ$128,MATCH(0.07,'Charts data (helper)'!$BH$119:$BH$128,0),MATCH($B22,'Charts data (helper)'!$BI$118:$DZ$118,0)),G22)</f>
        <v/>
      </c>
      <c r="X22" s="16">
        <f>RANK(W22,$W$6:$W$76,1)</f>
        <v/>
      </c>
    </row>
    <row r="23">
      <c r="A23" s="16" t="n">
        <v>18</v>
      </c>
      <c r="B23" s="8" t="inlineStr">
        <is>
          <t>Toyota RAV4</t>
        </is>
      </c>
      <c r="C23" s="16" t="inlineStr">
        <is>
          <t>SUV</t>
        </is>
      </c>
      <c r="D23" s="16" t="inlineStr">
        <is>
          <t>gas</t>
        </is>
      </c>
      <c r="E23" s="8" t="inlineStr">
        <is>
          <t>80k mi → ~2020</t>
        </is>
      </c>
      <c r="F23" s="28" t="n">
        <v>20600</v>
      </c>
      <c r="G23" s="14">
        <f>0.2992+(F23-20600)/160500+0.02421*$D$3+0.0*$F$3</f>
        <v/>
      </c>
      <c r="H23" s="29">
        <f>0.3152+(F23-20600)/160500+0.02421*$D$3+0.0*$F$3</f>
        <v/>
      </c>
      <c r="I23" s="29">
        <f>0.3318+(F23-20600)/160500+0.02421*$D$3+0.0*$F$3</f>
        <v/>
      </c>
      <c r="J23" s="29">
        <f>0.3362+(F23-20600)/105000+0.02421*$D$3+0.0*$F$3</f>
        <v/>
      </c>
      <c r="K23" s="29">
        <f>0.02421*$D$3+0.0*$F$3</f>
        <v/>
      </c>
      <c r="L23" s="29">
        <f>G23-K23</f>
        <v/>
      </c>
      <c r="M23" s="30" t="n">
        <v>1720</v>
      </c>
      <c r="N23" s="31" t="inlineStr">
        <is>
          <t>live listings ~80k mi, $17,500-$23,500</t>
        </is>
      </c>
      <c r="O23" s="32" t="inlineStr">
        <is>
          <t>✓ supported 2016–25  (buy ~2020 ✓)</t>
        </is>
      </c>
      <c r="P23" s="33" t="n">
        <v>0.432</v>
      </c>
      <c r="Q23" s="40" t="n">
        <v>3</v>
      </c>
      <c r="R23" s="29" t="n">
        <v>0.396</v>
      </c>
      <c r="S23" s="29" t="n">
        <v>0.477</v>
      </c>
      <c r="T23" s="35" t="n">
        <v>0.5639999999999999</v>
      </c>
      <c r="U23" s="29" t="n">
        <v>0.168</v>
      </c>
      <c r="V23" s="30" t="n">
        <v>26895</v>
      </c>
      <c r="W23" s="36">
        <f>IFERROR(G23*INDEX('Charts data (helper)'!$BI$119:$DZ$128,MATCH($Q$3,'Charts data (helper)'!$BH$119:$BH$128,0),MATCH($B23,'Charts data (helper)'!$BI$118:$DZ$118,0))/INDEX('Charts data (helper)'!$BI$119:$DZ$128,MATCH(0.07,'Charts data (helper)'!$BH$119:$BH$128,0),MATCH($B23,'Charts data (helper)'!$BI$118:$DZ$118,0)),G23)</f>
        <v/>
      </c>
      <c r="X23" s="16">
        <f>RANK(W23,$W$6:$W$76,1)</f>
        <v/>
      </c>
    </row>
    <row r="24">
      <c r="A24" s="16" t="n">
        <v>19</v>
      </c>
      <c r="B24" s="8" t="inlineStr">
        <is>
          <t>Fiat 500</t>
        </is>
      </c>
      <c r="C24" s="16" t="inlineStr">
        <is>
          <t>Car</t>
        </is>
      </c>
      <c r="D24" s="16" t="inlineStr">
        <is>
          <t>gas</t>
        </is>
      </c>
      <c r="E24" s="8" t="inlineStr">
        <is>
          <t>40k mi → ~2019</t>
        </is>
      </c>
      <c r="F24" s="28" t="n">
        <v>10200</v>
      </c>
      <c r="G24" s="14">
        <f>0.3115+(F24-10200)/119900+0.02254*$D$3+0.0*$F$3</f>
        <v/>
      </c>
      <c r="H24" s="29">
        <f>0.3313+(F24-10200)/119900+0.02254*$D$3+0.0*$F$3</f>
        <v/>
      </c>
      <c r="I24" s="29">
        <f>0.3598+(F24-10200)/119900+0.02254*$D$3+0.0*$F$3</f>
        <v/>
      </c>
      <c r="J24" s="29">
        <f>0.3282+(F24-10200)/83000+0.02254*$D$3+0.0*$F$3</f>
        <v/>
      </c>
      <c r="K24" s="29">
        <f>0.02254*$D$3+0.0*$F$3</f>
        <v/>
      </c>
      <c r="L24" s="29">
        <f>G24-K24</f>
        <v/>
      </c>
      <c r="M24" s="30" t="n">
        <v>1600</v>
      </c>
      <c r="N24" s="31" t="inlineStr">
        <is>
          <t>live listings ~40k mi, $8,500-$11,500</t>
        </is>
      </c>
      <c r="O24" s="37" t="inlineStr">
        <is>
          <t>✗ not on comma list</t>
        </is>
      </c>
      <c r="P24" s="33" t="n">
        <v>0.435</v>
      </c>
      <c r="Q24" s="40" t="n">
        <v>3</v>
      </c>
      <c r="R24" s="29" t="n">
        <v>0.409</v>
      </c>
      <c r="S24" s="29" t="n">
        <v>0.496</v>
      </c>
      <c r="T24" s="35" t="n">
        <v>0.499</v>
      </c>
      <c r="U24" s="29" t="n">
        <v>0.074</v>
      </c>
      <c r="V24" s="30" t="n">
        <v>8837</v>
      </c>
      <c r="W24" s="36">
        <f>IFERROR(G24*INDEX('Charts data (helper)'!$BI$119:$DZ$128,MATCH($Q$3,'Charts data (helper)'!$BH$119:$BH$128,0),MATCH($B24,'Charts data (helper)'!$BI$118:$DZ$118,0))/INDEX('Charts data (helper)'!$BI$119:$DZ$128,MATCH(0.07,'Charts data (helper)'!$BH$119:$BH$128,0),MATCH($B24,'Charts data (helper)'!$BI$118:$DZ$118,0)),G24)</f>
        <v/>
      </c>
      <c r="X24" s="16">
        <f>RANK(W24,$W$6:$W$76,1)</f>
        <v/>
      </c>
    </row>
    <row r="25">
      <c r="A25" s="16" t="n">
        <v>20</v>
      </c>
      <c r="B25" s="8" t="inlineStr">
        <is>
          <t>Honda CR-V</t>
        </is>
      </c>
      <c r="C25" s="16" t="inlineStr">
        <is>
          <t>SUV</t>
        </is>
      </c>
      <c r="D25" s="16" t="inlineStr">
        <is>
          <t>gas</t>
        </is>
      </c>
      <c r="E25" s="8" t="inlineStr">
        <is>
          <t>75k mi → ~2020</t>
        </is>
      </c>
      <c r="F25" s="28" t="n">
        <v>20500</v>
      </c>
      <c r="G25" s="14">
        <f>0.3069+(F25-20500)/165500+0.02394*$D$3+0.0*$F$3</f>
        <v/>
      </c>
      <c r="H25" s="29">
        <f>0.323+(F25-20500)/165500+0.02394*$D$3+0.0*$F$3</f>
        <v/>
      </c>
      <c r="I25" s="29">
        <f>0.3388+(F25-20500)/165500+0.02394*$D$3+0.0*$F$3</f>
        <v/>
      </c>
      <c r="J25" s="29">
        <f>0.3421+(F25-20500)/110000+0.02394*$D$3+0.0*$F$3</f>
        <v/>
      </c>
      <c r="K25" s="29">
        <f>0.02394*$D$3+0.0*$F$3</f>
        <v/>
      </c>
      <c r="L25" s="29">
        <f>G25-K25</f>
        <v/>
      </c>
      <c r="M25" s="30" t="n">
        <v>1680</v>
      </c>
      <c r="N25" s="31" t="inlineStr">
        <is>
          <t>live listings ~75k mi, $17,000-$23,500</t>
        </is>
      </c>
      <c r="O25" s="32" t="inlineStr">
        <is>
          <t>✓ supported 2015–26  (buy ~2020 ✓)</t>
        </is>
      </c>
      <c r="P25" s="33" t="n">
        <v>0.432</v>
      </c>
      <c r="Q25" s="40" t="n">
        <v>3</v>
      </c>
      <c r="R25" s="29" t="n">
        <v>0.4</v>
      </c>
      <c r="S25" s="29" t="n">
        <v>0.48</v>
      </c>
      <c r="T25" s="35" t="n">
        <v>0.514</v>
      </c>
      <c r="U25" s="29" t="n">
        <v>0.169</v>
      </c>
      <c r="V25" s="30" t="n">
        <v>28010</v>
      </c>
      <c r="W25" s="36">
        <f>IFERROR(G25*INDEX('Charts data (helper)'!$BI$119:$DZ$128,MATCH($Q$3,'Charts data (helper)'!$BH$119:$BH$128,0),MATCH($B25,'Charts data (helper)'!$BI$118:$DZ$118,0))/INDEX('Charts data (helper)'!$BI$119:$DZ$128,MATCH(0.07,'Charts data (helper)'!$BH$119:$BH$128,0),MATCH($B25,'Charts data (helper)'!$BI$118:$DZ$118,0)),G25)</f>
        <v/>
      </c>
      <c r="X25" s="16">
        <f>RANK(W25,$W$6:$W$76,1)</f>
        <v/>
      </c>
    </row>
    <row r="26">
      <c r="A26" s="16" t="n">
        <v>21</v>
      </c>
      <c r="B26" s="27" t="inlineStr">
        <is>
          <t>VW ID.4 (AWD avail)</t>
        </is>
      </c>
      <c r="C26" s="16" t="inlineStr">
        <is>
          <t>EV SUV</t>
        </is>
      </c>
      <c r="D26" s="16" t="inlineStr">
        <is>
          <t>electric</t>
        </is>
      </c>
      <c r="E26" s="8" t="inlineStr">
        <is>
          <t>45k mi → ~2023</t>
        </is>
      </c>
      <c r="F26" s="28" t="n">
        <v>22500</v>
      </c>
      <c r="G26" s="14">
        <f>0.3487+(F26-22500)/150000+0.0*$D$3+0.27778*$F$3</f>
        <v/>
      </c>
      <c r="H26" s="29">
        <f>0.3811+(F26-22500)/150000+0.0*$D$3+0.27778*$F$3</f>
        <v/>
      </c>
      <c r="I26" s="29">
        <f>0.4146+(F26-22500)/150000+0.0*$D$3+0.27778*$F$3</f>
        <v/>
      </c>
      <c r="J26" s="29">
        <f>0.3755+(F26-22500)/105000+0.0*$D$3+0.27778*$F$3</f>
        <v/>
      </c>
      <c r="K26" s="29">
        <f>0.0*$D$3+0.27778*$F$3</f>
        <v/>
      </c>
      <c r="L26" s="29">
        <f>G26-K26</f>
        <v/>
      </c>
      <c r="M26" s="30" t="n">
        <v>1920</v>
      </c>
      <c r="N26" s="31" t="inlineStr">
        <is>
          <t>live listings ~45k mi, $19,000-$25,500</t>
        </is>
      </c>
      <c r="O26" s="37" t="inlineStr">
        <is>
          <t>✗ not on list (no ID.4)</t>
        </is>
      </c>
      <c r="P26" s="33" t="n">
        <v>0.449</v>
      </c>
      <c r="Q26" s="40" t="n">
        <v>3</v>
      </c>
      <c r="R26" s="29" t="n">
        <v>0.389</v>
      </c>
      <c r="S26" s="29" t="n">
        <v>0.529</v>
      </c>
      <c r="T26" s="35" t="n">
        <v>0.513</v>
      </c>
      <c r="U26" s="29" t="n">
        <v>0.177</v>
      </c>
      <c r="V26" s="30" t="n">
        <v>26616</v>
      </c>
      <c r="W26" s="36">
        <f>IFERROR(G26*INDEX('Charts data (helper)'!$BI$119:$DZ$128,MATCH($Q$3,'Charts data (helper)'!$BH$119:$BH$128,0),MATCH($B26,'Charts data (helper)'!$BI$118:$DZ$118,0))/INDEX('Charts data (helper)'!$BI$119:$DZ$128,MATCH(0.07,'Charts data (helper)'!$BH$119:$BH$128,0),MATCH($B26,'Charts data (helper)'!$BI$118:$DZ$118,0)),G26)</f>
        <v/>
      </c>
      <c r="X26" s="16">
        <f>RANK(W26,$W$6:$W$76,1)</f>
        <v/>
      </c>
    </row>
    <row r="27">
      <c r="A27" s="16" t="n">
        <v>22</v>
      </c>
      <c r="B27" s="27" t="inlineStr">
        <is>
          <t>Toyota RAV4 Prime</t>
        </is>
      </c>
      <c r="C27" s="16" t="inlineStr">
        <is>
          <t>PHEV SUV AWD</t>
        </is>
      </c>
      <c r="D27" s="16" t="inlineStr">
        <is>
          <t>plug-in</t>
        </is>
      </c>
      <c r="E27" s="8" t="inlineStr">
        <is>
          <t>55k mi → ~2022</t>
        </is>
      </c>
      <c r="F27" s="28" t="n">
        <v>35000</v>
      </c>
      <c r="G27" s="14">
        <f>0.3549+(F27-35000)/180300+0.00427*$D$3+0.19491*$F$3</f>
        <v/>
      </c>
      <c r="H27" s="29">
        <f>0.3716+(F27-35000)/180300+0.00427*$D$3+0.19491*$F$3</f>
        <v/>
      </c>
      <c r="I27" s="29">
        <f>0.3905+(F27-35000)/180300+0.00427*$D$3+0.19491*$F$3</f>
        <v/>
      </c>
      <c r="J27" s="29">
        <f>0.4007+(F27-35000)/126000+0.00427*$D$3+0.19491*$F$3</f>
        <v/>
      </c>
      <c r="K27" s="29">
        <f>0.00427*$D$3+0.19491*$F$3</f>
        <v/>
      </c>
      <c r="L27" s="29">
        <f>G27-K27</f>
        <v/>
      </c>
      <c r="M27" s="30" t="n">
        <v>1760</v>
      </c>
      <c r="N27" s="31" t="inlineStr">
        <is>
          <t>live listings ~55k mi, $29,500-$40,000</t>
        </is>
      </c>
      <c r="O27" s="37" t="inlineStr">
        <is>
          <t>✗ not listed (RAV4 Prime absent)</t>
        </is>
      </c>
      <c r="P27" s="33" t="n">
        <v>0.45</v>
      </c>
      <c r="Q27" s="40" t="n">
        <v>3</v>
      </c>
      <c r="R27" s="29" t="n">
        <v>0.402</v>
      </c>
      <c r="S27" s="29" t="n">
        <v>0.484</v>
      </c>
      <c r="T27" s="35" t="n">
        <v>0.499</v>
      </c>
      <c r="U27" s="29" t="n">
        <v>0.302</v>
      </c>
      <c r="V27" s="30" t="n">
        <v>54454</v>
      </c>
      <c r="W27" s="36">
        <f>IFERROR(G27*INDEX('Charts data (helper)'!$BI$119:$DZ$128,MATCH($Q$3,'Charts data (helper)'!$BH$119:$BH$128,0),MATCH($B27,'Charts data (helper)'!$BI$118:$DZ$118,0))/INDEX('Charts data (helper)'!$BI$119:$DZ$128,MATCH(0.07,'Charts data (helper)'!$BH$119:$BH$128,0),MATCH($B27,'Charts data (helper)'!$BI$118:$DZ$118,0)),G27)</f>
        <v/>
      </c>
      <c r="X27" s="16">
        <f>RANK(W27,$W$6:$W$76,1)</f>
        <v/>
      </c>
    </row>
    <row r="28">
      <c r="A28" s="16" t="n">
        <v>23</v>
      </c>
      <c r="B28" s="8" t="inlineStr">
        <is>
          <t>Kia Soul</t>
        </is>
      </c>
      <c r="C28" s="16" t="inlineStr">
        <is>
          <t>SUV</t>
        </is>
      </c>
      <c r="D28" s="16" t="inlineStr">
        <is>
          <t>gas</t>
        </is>
      </c>
      <c r="E28" s="8" t="inlineStr">
        <is>
          <t>60k mi → ~2021</t>
        </is>
      </c>
      <c r="F28" s="28" t="n">
        <v>14500</v>
      </c>
      <c r="G28" s="14">
        <f>0.3024+(F28-14500)/124600+0.02537*$D$3+0.0*$F$3</f>
        <v/>
      </c>
      <c r="H28" s="29">
        <f>0.3195+(F28-14500)/124600+0.02537*$D$3+0.0*$F$3</f>
        <v/>
      </c>
      <c r="I28" s="29">
        <f>0.34+(F28-14500)/124600+0.02537*$D$3+0.0*$F$3</f>
        <v/>
      </c>
      <c r="J28" s="29">
        <f>0.3387+(F28-14500)/82000+0.02537*$D$3+0.0*$F$3</f>
        <v/>
      </c>
      <c r="K28" s="29">
        <f>0.02537*$D$3+0.0*$F$3</f>
        <v/>
      </c>
      <c r="L28" s="29">
        <f>G28-K28</f>
        <v/>
      </c>
      <c r="M28" s="30" t="n">
        <v>1640</v>
      </c>
      <c r="N28" s="31" t="inlineStr">
        <is>
          <t>live listings ~60k mi, $12,000-$16,500</t>
        </is>
      </c>
      <c r="O28" s="38" t="inlineStr">
        <is>
          <t>◑ Hyundai/Kia SCC, select yrs</t>
        </is>
      </c>
      <c r="P28" s="33" t="n">
        <v>0.442</v>
      </c>
      <c r="Q28" s="40" t="n">
        <v>3</v>
      </c>
      <c r="R28" s="29" t="n">
        <v>0.406</v>
      </c>
      <c r="S28" s="29" t="n">
        <v>0.494</v>
      </c>
      <c r="T28" s="35" t="n">
        <v>0.589</v>
      </c>
      <c r="U28" s="29" t="n">
        <v>0.106</v>
      </c>
      <c r="V28" s="30" t="n">
        <v>13233</v>
      </c>
      <c r="W28" s="36">
        <f>IFERROR(G28*INDEX('Charts data (helper)'!$BI$119:$DZ$128,MATCH($Q$3,'Charts data (helper)'!$BH$119:$BH$128,0),MATCH($B28,'Charts data (helper)'!$BI$118:$DZ$118,0))/INDEX('Charts data (helper)'!$BI$119:$DZ$128,MATCH(0.07,'Charts data (helper)'!$BH$119:$BH$128,0),MATCH($B28,'Charts data (helper)'!$BI$118:$DZ$118,0)),G28)</f>
        <v/>
      </c>
      <c r="X28" s="16">
        <f>RANK(W28,$W$6:$W$76,1)</f>
        <v/>
      </c>
    </row>
    <row r="29">
      <c r="A29" s="16" t="n">
        <v>24</v>
      </c>
      <c r="B29" s="8" t="inlineStr">
        <is>
          <t>VW Passat</t>
        </is>
      </c>
      <c r="C29" s="16" t="inlineStr">
        <is>
          <t>Car</t>
        </is>
      </c>
      <c r="D29" s="16" t="inlineStr">
        <is>
          <t>gas</t>
        </is>
      </c>
      <c r="E29" s="8" t="inlineStr">
        <is>
          <t>55k mi → ~2022</t>
        </is>
      </c>
      <c r="F29" s="28" t="n">
        <v>14200</v>
      </c>
      <c r="G29" s="14">
        <f>0.3068+(F29-14200)/134800+0.02566*$D$3+0.0*$F$3</f>
        <v/>
      </c>
      <c r="H29" s="29">
        <f>0.3276+(F29-14200)/134800+0.02566*$D$3+0.0*$F$3</f>
        <v/>
      </c>
      <c r="I29" s="29">
        <f>0.3485+(F29-14200)/134800+0.02566*$D$3+0.0*$F$3</f>
        <v/>
      </c>
      <c r="J29" s="29">
        <f>0.3397+(F29-14200)/91000+0.02566*$D$3+0.0*$F$3</f>
        <v/>
      </c>
      <c r="K29" s="29">
        <f>0.02566*$D$3+0.0*$F$3</f>
        <v/>
      </c>
      <c r="L29" s="29">
        <f>G29-K29</f>
        <v/>
      </c>
      <c r="M29" s="30" t="n">
        <v>1720</v>
      </c>
      <c r="N29" s="31" t="inlineStr">
        <is>
          <t>live listings ~55k mi, $12,000-$16,000</t>
        </is>
      </c>
      <c r="O29" s="38" t="inlineStr">
        <is>
          <t>◑ VW community port, select yrs</t>
        </is>
      </c>
      <c r="P29" s="33" t="n">
        <v>0.443</v>
      </c>
      <c r="Q29" s="41" t="n">
        <v>4</v>
      </c>
      <c r="R29" s="29" t="n">
        <v>0.412</v>
      </c>
      <c r="S29" s="29" t="n">
        <v>0.507</v>
      </c>
      <c r="T29" s="35" t="n">
        <v>0.533</v>
      </c>
      <c r="U29" s="29" t="n">
        <v>0.107</v>
      </c>
      <c r="V29" s="30" t="n">
        <v>14440</v>
      </c>
      <c r="W29" s="36">
        <f>IFERROR(G29*INDEX('Charts data (helper)'!$BI$119:$DZ$128,MATCH($Q$3,'Charts data (helper)'!$BH$119:$BH$128,0),MATCH($B29,'Charts data (helper)'!$BI$118:$DZ$118,0))/INDEX('Charts data (helper)'!$BI$119:$DZ$128,MATCH(0.07,'Charts data (helper)'!$BH$119:$BH$128,0),MATCH($B29,'Charts data (helper)'!$BI$118:$DZ$118,0)),G29)</f>
        <v/>
      </c>
      <c r="X29" s="16">
        <f>RANK(W29,$W$6:$W$76,1)</f>
        <v/>
      </c>
    </row>
    <row r="30">
      <c r="A30" s="16" t="n">
        <v>25</v>
      </c>
      <c r="B30" s="8" t="inlineStr">
        <is>
          <t>Buick Encore</t>
        </is>
      </c>
      <c r="C30" s="16" t="inlineStr">
        <is>
          <t>SUV</t>
        </is>
      </c>
      <c r="D30" s="16" t="inlineStr">
        <is>
          <t>gas</t>
        </is>
      </c>
      <c r="E30" s="8" t="inlineStr">
        <is>
          <t>50k mi → ~2022</t>
        </is>
      </c>
      <c r="F30" s="28" t="n">
        <v>14800</v>
      </c>
      <c r="G30" s="14">
        <f>0.3072+(F30-14800)/125500+0.02622*$D$3+0.0*$F$3</f>
        <v/>
      </c>
      <c r="H30" s="29">
        <f>0.3228+(F30-14800)/125500+0.02622*$D$3+0.0*$F$3</f>
        <v/>
      </c>
      <c r="I30" s="29">
        <f>0.3418+(F30-14800)/125500+0.02622*$D$3+0.0*$F$3</f>
        <v/>
      </c>
      <c r="J30" s="29">
        <f>0.3418+(F30-14800)/85000+0.02622*$D$3+0.0*$F$3</f>
        <v/>
      </c>
      <c r="K30" s="29">
        <f>0.02622*$D$3+0.0*$F$3</f>
        <v/>
      </c>
      <c r="L30" s="29">
        <f>G30-K30</f>
        <v/>
      </c>
      <c r="M30" s="30" t="n">
        <v>1680</v>
      </c>
      <c r="N30" s="31" t="inlineStr">
        <is>
          <t>live listings ~50k mi, $12,500-$17,000</t>
        </is>
      </c>
      <c r="O30" s="37" t="inlineStr">
        <is>
          <t>✗ not on comma list</t>
        </is>
      </c>
      <c r="P30" s="33" t="n">
        <v>0.451</v>
      </c>
      <c r="Q30" s="41" t="n">
        <v>4</v>
      </c>
      <c r="R30" s="29" t="n">
        <v>0.419</v>
      </c>
      <c r="S30" s="29" t="n">
        <v>0.499</v>
      </c>
      <c r="T30" s="35" t="n">
        <v>0.5590000000000001</v>
      </c>
      <c r="U30" s="29" t="n">
        <v>0.109</v>
      </c>
      <c r="V30" s="30" t="n">
        <v>13640</v>
      </c>
      <c r="W30" s="36">
        <f>IFERROR(G30*INDEX('Charts data (helper)'!$BI$119:$DZ$128,MATCH($Q$3,'Charts data (helper)'!$BH$119:$BH$128,0),MATCH($B30,'Charts data (helper)'!$BI$118:$DZ$118,0))/INDEX('Charts data (helper)'!$BI$119:$DZ$128,MATCH(0.07,'Charts data (helper)'!$BH$119:$BH$128,0),MATCH($B30,'Charts data (helper)'!$BI$118:$DZ$118,0)),G30)</f>
        <v/>
      </c>
      <c r="X30" s="16">
        <f>RANK(W30,$W$6:$W$76,1)</f>
        <v/>
      </c>
    </row>
    <row r="31">
      <c r="A31" s="16" t="n">
        <v>26</v>
      </c>
      <c r="B31" s="8" t="inlineStr">
        <is>
          <t>Hyundai Kona</t>
        </is>
      </c>
      <c r="C31" s="16" t="inlineStr">
        <is>
          <t>SUV</t>
        </is>
      </c>
      <c r="D31" s="16" t="inlineStr">
        <is>
          <t>gas</t>
        </is>
      </c>
      <c r="E31" s="8" t="inlineStr">
        <is>
          <t>65k mi → ~2021</t>
        </is>
      </c>
      <c r="F31" s="28" t="n">
        <v>15000</v>
      </c>
      <c r="G31" s="14">
        <f>0.3204+(F31-15000)/119600+0.02481*$D$3+0.0*$F$3</f>
        <v/>
      </c>
      <c r="H31" s="29">
        <f>0.3364+(F31-15000)/119600+0.02481*$D$3+0.0*$F$3</f>
        <v/>
      </c>
      <c r="I31" s="29">
        <f>0.3572+(F31-15000)/119600+0.02481*$D$3+0.0*$F$3</f>
        <v/>
      </c>
      <c r="J31" s="29">
        <f>0.349+(F31-15000)/77000+0.02481*$D$3+0.0*$F$3</f>
        <v/>
      </c>
      <c r="K31" s="29">
        <f>0.02481*$D$3+0.0*$F$3</f>
        <v/>
      </c>
      <c r="L31" s="29">
        <f>G31-K31</f>
        <v/>
      </c>
      <c r="M31" s="30" t="n">
        <v>1640</v>
      </c>
      <c r="N31" s="31" t="inlineStr">
        <is>
          <t>live listings ~65k mi, $12,500-$17,000</t>
        </is>
      </c>
      <c r="O31" s="38" t="inlineStr">
        <is>
          <t>◑ Hyundai/Kia SCC, select yrs</t>
        </is>
      </c>
      <c r="P31" s="33" t="n">
        <v>0.459</v>
      </c>
      <c r="Q31" s="41" t="n">
        <v>4</v>
      </c>
      <c r="R31" s="29" t="n">
        <v>0.423</v>
      </c>
      <c r="S31" s="29" t="n">
        <v>0.504</v>
      </c>
      <c r="T31" s="35" t="n">
        <v>0.5649999999999999</v>
      </c>
      <c r="U31" s="29" t="n">
        <v>0.108</v>
      </c>
      <c r="V31" s="30" t="n">
        <v>12953</v>
      </c>
      <c r="W31" s="36">
        <f>IFERROR(G31*INDEX('Charts data (helper)'!$BI$119:$DZ$128,MATCH($Q$3,'Charts data (helper)'!$BH$119:$BH$128,0),MATCH($B31,'Charts data (helper)'!$BI$118:$DZ$118,0))/INDEX('Charts data (helper)'!$BI$119:$DZ$128,MATCH(0.07,'Charts data (helper)'!$BH$119:$BH$128,0),MATCH($B31,'Charts data (helper)'!$BI$118:$DZ$118,0)),G31)</f>
        <v/>
      </c>
      <c r="X31" s="16">
        <f>RANK(W31,$W$6:$W$76,1)</f>
        <v/>
      </c>
    </row>
    <row r="32">
      <c r="A32" s="16" t="n">
        <v>27</v>
      </c>
      <c r="B32" s="8" t="inlineStr">
        <is>
          <t>Mazda CX-5</t>
        </is>
      </c>
      <c r="C32" s="16" t="inlineStr">
        <is>
          <t>SUV</t>
        </is>
      </c>
      <c r="D32" s="16" t="inlineStr">
        <is>
          <t>gas</t>
        </is>
      </c>
      <c r="E32" s="8" t="inlineStr">
        <is>
          <t>65k mi → ~2021</t>
        </is>
      </c>
      <c r="F32" s="28" t="n">
        <v>20600</v>
      </c>
      <c r="G32" s="14">
        <f>0.3148+(F32-20600)/149500+0.02672*$D$3+0.0*$F$3</f>
        <v/>
      </c>
      <c r="H32" s="29">
        <f>0.3315+(F32-20600)/149500+0.02672*$D$3+0.0*$F$3</f>
        <v/>
      </c>
      <c r="I32" s="29">
        <f>0.3466+(F32-20600)/149500+0.02672*$D$3+0.0*$F$3</f>
        <v/>
      </c>
      <c r="J32" s="29">
        <f>0.3595+(F32-20600)/100000+0.02672*$D$3+0.0*$F$3</f>
        <v/>
      </c>
      <c r="K32" s="29">
        <f>0.02672*$D$3+0.0*$F$3</f>
        <v/>
      </c>
      <c r="L32" s="29">
        <f>G32-K32</f>
        <v/>
      </c>
      <c r="M32" s="30" t="n">
        <v>1680</v>
      </c>
      <c r="N32" s="31" t="inlineStr">
        <is>
          <t>live listings ~65k mi, $17,500-$23,500</t>
        </is>
      </c>
      <c r="O32" s="38" t="inlineStr">
        <is>
          <t>◑ supported 2022–25  (buy ~2021 OUTSIDE range — pick a 2022-2025 example instead)</t>
        </is>
      </c>
      <c r="P32" s="33" t="n">
        <v>0.467</v>
      </c>
      <c r="Q32" s="41" t="n">
        <v>4</v>
      </c>
      <c r="R32" s="29" t="n">
        <v>0.427</v>
      </c>
      <c r="S32" s="29" t="n">
        <v>0.505</v>
      </c>
      <c r="T32" s="35" t="n">
        <v>0.588</v>
      </c>
      <c r="U32" s="29" t="n">
        <v>0.162</v>
      </c>
      <c r="V32" s="30" t="n">
        <v>24252</v>
      </c>
      <c r="W32" s="36">
        <f>IFERROR(G32*INDEX('Charts data (helper)'!$BI$119:$DZ$128,MATCH($Q$3,'Charts data (helper)'!$BH$119:$BH$128,0),MATCH($B32,'Charts data (helper)'!$BI$118:$DZ$118,0))/INDEX('Charts data (helper)'!$BI$119:$DZ$128,MATCH(0.07,'Charts data (helper)'!$BH$119:$BH$128,0),MATCH($B32,'Charts data (helper)'!$BI$118:$DZ$118,0)),G32)</f>
        <v/>
      </c>
      <c r="X32" s="16">
        <f>RANK(W32,$W$6:$W$76,1)</f>
        <v/>
      </c>
    </row>
    <row r="33">
      <c r="A33" s="16" t="n">
        <v>28</v>
      </c>
      <c r="B33" s="8" t="inlineStr">
        <is>
          <t>Toyota Highlander Hybrid</t>
        </is>
      </c>
      <c r="C33" s="16" t="inlineStr">
        <is>
          <t>SUV AWD</t>
        </is>
      </c>
      <c r="D33" s="16" t="inlineStr">
        <is>
          <t>hybrid</t>
        </is>
      </c>
      <c r="E33" s="8" t="inlineStr">
        <is>
          <t>65k mi → ~2021</t>
        </is>
      </c>
      <c r="F33" s="28" t="n">
        <v>32000</v>
      </c>
      <c r="G33" s="14">
        <f>0.3686+(F33-32000)/179400+0.01857*$D$3+0.0*$F$3</f>
        <v/>
      </c>
      <c r="H33" s="29">
        <f>0.3891+(F33-32000)/179400+0.01857*$D$3+0.0*$F$3</f>
        <v/>
      </c>
      <c r="I33" s="29">
        <f>0.411+(F33-32000)/179400+0.01857*$D$3+0.0*$F$3</f>
        <v/>
      </c>
      <c r="J33" s="29">
        <f>0.4302+(F33-32000)/123000+0.01857*$D$3+0.0*$F$3</f>
        <v/>
      </c>
      <c r="K33" s="29">
        <f>0.01857*$D$3+0.0*$F$3</f>
        <v/>
      </c>
      <c r="L33" s="29">
        <f>G33-K33</f>
        <v/>
      </c>
      <c r="M33" s="30" t="n">
        <v>1840</v>
      </c>
      <c r="N33" s="31" t="inlineStr">
        <is>
          <t>live listings ~65k mi, $27,000-$36,500</t>
        </is>
      </c>
      <c r="O33" s="38" t="inlineStr">
        <is>
          <t>◑ select Toyota TSS years</t>
        </is>
      </c>
      <c r="P33" s="33" t="n">
        <v>0.463</v>
      </c>
      <c r="Q33" s="41" t="n">
        <v>4</v>
      </c>
      <c r="R33" s="29" t="n">
        <v>0.425</v>
      </c>
      <c r="S33" s="29" t="n">
        <v>0.524</v>
      </c>
      <c r="T33" s="35" t="n">
        <v>0.523</v>
      </c>
      <c r="U33" s="29" t="n">
        <v>0.275</v>
      </c>
      <c r="V33" s="30" t="n">
        <v>49404</v>
      </c>
      <c r="W33" s="36">
        <f>IFERROR(G33*INDEX('Charts data (helper)'!$BI$119:$DZ$128,MATCH($Q$3,'Charts data (helper)'!$BH$119:$BH$128,0),MATCH($B33,'Charts data (helper)'!$BI$118:$DZ$118,0))/INDEX('Charts data (helper)'!$BI$119:$DZ$128,MATCH(0.07,'Charts data (helper)'!$BH$119:$BH$128,0),MATCH($B33,'Charts data (helper)'!$BI$118:$DZ$118,0)),G33)</f>
        <v/>
      </c>
      <c r="X33" s="16">
        <f>RANK(W33,$W$6:$W$76,1)</f>
        <v/>
      </c>
    </row>
    <row r="34">
      <c r="A34" s="16" t="n">
        <v>29</v>
      </c>
      <c r="B34" s="8" t="inlineStr">
        <is>
          <t>Subaru Outback</t>
        </is>
      </c>
      <c r="C34" s="16" t="inlineStr">
        <is>
          <t>SUV AWD</t>
        </is>
      </c>
      <c r="D34" s="16" t="inlineStr">
        <is>
          <t>gas</t>
        </is>
      </c>
      <c r="E34" s="8" t="inlineStr">
        <is>
          <t>75k mi → ~2020</t>
        </is>
      </c>
      <c r="F34" s="28" t="n">
        <v>18800</v>
      </c>
      <c r="G34" s="14">
        <f>0.3356+(F34-18800)/135600+0.02473*$D$3+0.0*$F$3</f>
        <v/>
      </c>
      <c r="H34" s="29">
        <f>0.3574+(F34-18800)/135600+0.02473*$D$3+0.0*$F$3</f>
        <v/>
      </c>
      <c r="I34" s="29">
        <f>0.3819+(F34-18800)/135600+0.02473*$D$3+0.0*$F$3</f>
        <v/>
      </c>
      <c r="J34" s="29">
        <f>0.3751+(F34-18800)/87000+0.02473*$D$3+0.0*$F$3</f>
        <v/>
      </c>
      <c r="K34" s="29">
        <f>0.02473*$D$3+0.0*$F$3</f>
        <v/>
      </c>
      <c r="L34" s="29">
        <f>G34-K34</f>
        <v/>
      </c>
      <c r="M34" s="30" t="n">
        <v>1640</v>
      </c>
      <c r="N34" s="31" t="inlineStr">
        <is>
          <t>live listings ~75k mi, $15,500-$21,500</t>
        </is>
      </c>
      <c r="O34" s="32" t="inlineStr">
        <is>
          <t>✓ supported 2020–22  (buy ~2020 ✓)</t>
        </is>
      </c>
      <c r="P34" s="33" t="n">
        <v>0.477</v>
      </c>
      <c r="Q34" s="41" t="n">
        <v>4</v>
      </c>
      <c r="R34" s="29" t="n">
        <v>0.432</v>
      </c>
      <c r="S34" s="29" t="n">
        <v>0.538</v>
      </c>
      <c r="T34" s="35" t="n">
        <v>0.504</v>
      </c>
      <c r="U34" s="29" t="n">
        <v>0.142</v>
      </c>
      <c r="V34" s="30" t="n">
        <v>19276</v>
      </c>
      <c r="W34" s="36">
        <f>IFERROR(G34*INDEX('Charts data (helper)'!$BI$119:$DZ$128,MATCH($Q$3,'Charts data (helper)'!$BH$119:$BH$128,0),MATCH($B34,'Charts data (helper)'!$BI$118:$DZ$118,0))/INDEX('Charts data (helper)'!$BI$119:$DZ$128,MATCH(0.07,'Charts data (helper)'!$BH$119:$BH$128,0),MATCH($B34,'Charts data (helper)'!$BI$118:$DZ$118,0)),G34)</f>
        <v/>
      </c>
      <c r="X34" s="16">
        <f>RANK(W34,$W$6:$W$76,1)</f>
        <v/>
      </c>
    </row>
    <row r="35">
      <c r="A35" s="16" t="n">
        <v>30</v>
      </c>
      <c r="B35" s="8" t="inlineStr">
        <is>
          <t>Subaru Forester</t>
        </is>
      </c>
      <c r="C35" s="16" t="inlineStr">
        <is>
          <t>SUV AWD</t>
        </is>
      </c>
      <c r="D35" s="16" t="inlineStr">
        <is>
          <t>gas</t>
        </is>
      </c>
      <c r="E35" s="8" t="inlineStr">
        <is>
          <t>55k mi → ~2022</t>
        </is>
      </c>
      <c r="F35" s="28" t="n">
        <v>22200</v>
      </c>
      <c r="G35" s="14">
        <f>0.3394+(F35-22200)/145200+0.02419*$D$3+0.0*$F$3</f>
        <v/>
      </c>
      <c r="H35" s="29">
        <f>0.3564+(F35-22200)/145200+0.02419*$D$3+0.0*$F$3</f>
        <v/>
      </c>
      <c r="I35" s="29">
        <f>0.3761+(F35-22200)/145200+0.02419*$D$3+0.0*$F$3</f>
        <v/>
      </c>
      <c r="J35" s="29">
        <f>0.3746+(F35-22200)/99000+0.02419*$D$3+0.0*$F$3</f>
        <v/>
      </c>
      <c r="K35" s="29">
        <f>0.02419*$D$3+0.0*$F$3</f>
        <v/>
      </c>
      <c r="L35" s="29">
        <f>G35-K35</f>
        <v/>
      </c>
      <c r="M35" s="30" t="n">
        <v>1680</v>
      </c>
      <c r="N35" s="31" t="inlineStr">
        <is>
          <t>live listings ~55k mi, $18,500-$25,500</t>
        </is>
      </c>
      <c r="O35" s="38" t="inlineStr">
        <is>
          <t>◑ supported 2019–21  (buy ~2022 OUTSIDE range — pick a 2019-2021 example instead)</t>
        </is>
      </c>
      <c r="P35" s="33" t="n">
        <v>0.479</v>
      </c>
      <c r="Q35" s="41" t="n">
        <v>4</v>
      </c>
      <c r="R35" s="29" t="n">
        <v>0.439</v>
      </c>
      <c r="S35" s="29" t="n">
        <v>0.523</v>
      </c>
      <c r="T35" s="35" t="n">
        <v>0.486</v>
      </c>
      <c r="U35" s="29" t="n">
        <v>0.173</v>
      </c>
      <c r="V35" s="30" t="n">
        <v>25066</v>
      </c>
      <c r="W35" s="36">
        <f>IFERROR(G35*INDEX('Charts data (helper)'!$BI$119:$DZ$128,MATCH($Q$3,'Charts data (helper)'!$BH$119:$BH$128,0),MATCH($B35,'Charts data (helper)'!$BI$118:$DZ$118,0))/INDEX('Charts data (helper)'!$BI$119:$DZ$128,MATCH(0.07,'Charts data (helper)'!$BH$119:$BH$128,0),MATCH($B35,'Charts data (helper)'!$BI$118:$DZ$118,0)),G35)</f>
        <v/>
      </c>
      <c r="X35" s="16">
        <f>RANK(W35,$W$6:$W$76,1)</f>
        <v/>
      </c>
    </row>
    <row r="36">
      <c r="A36" s="16" t="n">
        <v>31</v>
      </c>
      <c r="B36" s="8" t="inlineStr">
        <is>
          <t>Toyota Sienna Hybrid</t>
        </is>
      </c>
      <c r="C36" s="16" t="inlineStr">
        <is>
          <t>Van</t>
        </is>
      </c>
      <c r="D36" s="16" t="inlineStr">
        <is>
          <t>hybrid</t>
        </is>
      </c>
      <c r="E36" s="8" t="inlineStr">
        <is>
          <t>55k mi → ~2022</t>
        </is>
      </c>
      <c r="F36" s="28" t="n">
        <v>35000</v>
      </c>
      <c r="G36" s="14">
        <f>0.3765+(F36-35000)/189400+0.01766*$D$3+0.0*$F$3</f>
        <v/>
      </c>
      <c r="H36" s="29">
        <f>0.3984+(F36-35000)/189400+0.01766*$D$3+0.0*$F$3</f>
        <v/>
      </c>
      <c r="I36" s="29">
        <f>0.4175+(F36-35000)/189400+0.01766*$D$3+0.0*$F$3</f>
        <v/>
      </c>
      <c r="J36" s="29">
        <f>0.4354+(F36-35000)/133000+0.01766*$D$3+0.0*$F$3</f>
        <v/>
      </c>
      <c r="K36" s="29">
        <f>0.01766*$D$3+0.0*$F$3</f>
        <v/>
      </c>
      <c r="L36" s="29">
        <f>G36-K36</f>
        <v/>
      </c>
      <c r="M36" s="30" t="n">
        <v>1840</v>
      </c>
      <c r="N36" s="31" t="inlineStr">
        <is>
          <t>live listings ~55k mi, $29,500-$40,000</t>
        </is>
      </c>
      <c r="O36" s="38" t="inlineStr">
        <is>
          <t>◑ select Toyota TSS years</t>
        </is>
      </c>
      <c r="P36" s="33" t="n">
        <v>0.451</v>
      </c>
      <c r="Q36" s="41" t="n">
        <v>4</v>
      </c>
      <c r="R36" s="29" t="n">
        <v>0.416</v>
      </c>
      <c r="S36" s="29" t="n">
        <v>0.525</v>
      </c>
      <c r="T36" s="35" t="n">
        <v>0.594</v>
      </c>
      <c r="U36" s="29" t="n">
        <v>0.31</v>
      </c>
      <c r="V36" s="30" t="n">
        <v>58792</v>
      </c>
      <c r="W36" s="36">
        <f>IFERROR(G36*INDEX('Charts data (helper)'!$BI$119:$DZ$128,MATCH($Q$3,'Charts data (helper)'!$BH$119:$BH$128,0),MATCH($B36,'Charts data (helper)'!$BI$118:$DZ$118,0))/INDEX('Charts data (helper)'!$BI$119:$DZ$128,MATCH(0.07,'Charts data (helper)'!$BH$119:$BH$128,0),MATCH($B36,'Charts data (helper)'!$BI$118:$DZ$118,0)),G36)</f>
        <v/>
      </c>
      <c r="X36" s="16">
        <f>RANK(W36,$W$6:$W$76,1)</f>
        <v/>
      </c>
    </row>
    <row r="37">
      <c r="A37" s="16" t="n">
        <v>32</v>
      </c>
      <c r="B37" s="37" t="inlineStr">
        <is>
          <t>Toyota Tacoma</t>
        </is>
      </c>
      <c r="C37" s="16" t="inlineStr">
        <is>
          <t>Truck</t>
        </is>
      </c>
      <c r="D37" s="16" t="inlineStr">
        <is>
          <t>gas</t>
        </is>
      </c>
      <c r="E37" s="8" t="inlineStr">
        <is>
          <t>75k mi → ~2020</t>
        </is>
      </c>
      <c r="F37" s="28" t="n">
        <v>29333</v>
      </c>
      <c r="G37" s="14">
        <f>0.3169+(F37-29333)/214900+0.03009*$D$3+0.0*$F$3</f>
        <v/>
      </c>
      <c r="H37" s="29">
        <f>0.3359+(F37-29333)/214900+0.03009*$D$3+0.0*$F$3</f>
        <v/>
      </c>
      <c r="I37" s="29">
        <f>0.3547+(F37-29333)/214900+0.03009*$D$3+0.0*$F$3</f>
        <v/>
      </c>
      <c r="J37" s="29">
        <f>0.3699+(F37-29333)/148000+0.03009*$D$3+0.0*$F$3</f>
        <v/>
      </c>
      <c r="K37" s="29">
        <f>0.03009*$D$3+0.0*$F$3</f>
        <v/>
      </c>
      <c r="L37" s="29">
        <f>G37-K37</f>
        <v/>
      </c>
      <c r="M37" s="30" t="n">
        <v>1800</v>
      </c>
      <c r="N37" s="31" t="inlineStr">
        <is>
          <t>live listings ~75k mi, $24,500-$33,500</t>
        </is>
      </c>
      <c r="O37" s="37" t="inlineStr">
        <is>
          <t>✗ not supported (no Tacoma on list)</t>
        </is>
      </c>
      <c r="P37" s="33" t="n">
        <v>0.474</v>
      </c>
      <c r="Q37" s="41" t="n">
        <v>4</v>
      </c>
      <c r="R37" s="29" t="n">
        <v>0.44</v>
      </c>
      <c r="S37" s="29" t="n">
        <v>0.531</v>
      </c>
      <c r="T37" s="35" t="n">
        <v>0.57</v>
      </c>
      <c r="U37" s="29" t="n">
        <v>0.281</v>
      </c>
      <c r="V37" s="30" t="n">
        <v>60430</v>
      </c>
      <c r="W37" s="36">
        <f>IFERROR(G37*INDEX('Charts data (helper)'!$BI$119:$DZ$128,MATCH($Q$3,'Charts data (helper)'!$BH$119:$BH$128,0),MATCH($B37,'Charts data (helper)'!$BI$118:$DZ$118,0))/INDEX('Charts data (helper)'!$BI$119:$DZ$128,MATCH(0.07,'Charts data (helper)'!$BH$119:$BH$128,0),MATCH($B37,'Charts data (helper)'!$BI$118:$DZ$118,0)),G37)</f>
        <v/>
      </c>
      <c r="X37" s="16">
        <f>RANK(W37,$W$6:$W$76,1)</f>
        <v/>
      </c>
    </row>
    <row r="38">
      <c r="A38" s="16" t="n">
        <v>33</v>
      </c>
      <c r="B38" s="8" t="inlineStr">
        <is>
          <t>Nissan Rogue</t>
        </is>
      </c>
      <c r="C38" s="16" t="inlineStr">
        <is>
          <t>SUV</t>
        </is>
      </c>
      <c r="D38" s="16" t="inlineStr">
        <is>
          <t>gas</t>
        </is>
      </c>
      <c r="E38" s="8" t="inlineStr">
        <is>
          <t>55k mi → ~2022</t>
        </is>
      </c>
      <c r="F38" s="28" t="n">
        <v>18800</v>
      </c>
      <c r="G38" s="14">
        <f>0.3443+(F38-18800)/115300+0.02592*$D$3+0.0*$F$3</f>
        <v/>
      </c>
      <c r="H38" s="29">
        <f>0.3648+(F38-18800)/115300+0.02592*$D$3+0.0*$F$3</f>
        <v/>
      </c>
      <c r="I38" s="29">
        <f>0.3873+(F38-18800)/115300+0.02592*$D$3+0.0*$F$3</f>
        <v/>
      </c>
      <c r="J38" s="29">
        <f>0.3805+(F38-18800)/76000+0.02592*$D$3+0.0*$F$3</f>
        <v/>
      </c>
      <c r="K38" s="29">
        <f>0.02592*$D$3+0.0*$F$3</f>
        <v/>
      </c>
      <c r="L38" s="29">
        <f>G38-K38</f>
        <v/>
      </c>
      <c r="M38" s="30" t="n">
        <v>1664</v>
      </c>
      <c r="N38" s="31" t="inlineStr">
        <is>
          <t>live listings ~55k mi, $15,500-$21,500</t>
        </is>
      </c>
      <c r="O38" s="38" t="inlineStr">
        <is>
          <t>◑ supported 2018–20  (buy ~2022 OUTSIDE range — pick a 2018-2020 example instead)</t>
        </is>
      </c>
      <c r="P38" s="33" t="n">
        <v>0.498</v>
      </c>
      <c r="Q38" s="41" t="n">
        <v>4</v>
      </c>
      <c r="R38" s="29" t="n">
        <v>0.451</v>
      </c>
      <c r="S38" s="29" t="n">
        <v>0.541</v>
      </c>
      <c r="T38" s="35" t="n">
        <v>0.527</v>
      </c>
      <c r="U38" s="29" t="n">
        <v>0.134</v>
      </c>
      <c r="V38" s="30" t="n">
        <v>15459</v>
      </c>
      <c r="W38" s="36">
        <f>IFERROR(G38*INDEX('Charts data (helper)'!$BI$119:$DZ$128,MATCH($Q$3,'Charts data (helper)'!$BH$119:$BH$128,0),MATCH($B38,'Charts data (helper)'!$BI$118:$DZ$118,0))/INDEX('Charts data (helper)'!$BI$119:$DZ$128,MATCH(0.07,'Charts data (helper)'!$BH$119:$BH$128,0),MATCH($B38,'Charts data (helper)'!$BI$118:$DZ$118,0)),G38)</f>
        <v/>
      </c>
      <c r="X38" s="16">
        <f>RANK(W38,$W$6:$W$76,1)</f>
        <v/>
      </c>
    </row>
    <row r="39">
      <c r="A39" s="16" t="n">
        <v>34</v>
      </c>
      <c r="B39" s="8" t="inlineStr">
        <is>
          <t>Chevy Equinox</t>
        </is>
      </c>
      <c r="C39" s="16" t="inlineStr">
        <is>
          <t>SUV</t>
        </is>
      </c>
      <c r="D39" s="16" t="inlineStr">
        <is>
          <t>gas</t>
        </is>
      </c>
      <c r="E39" s="8" t="inlineStr">
        <is>
          <t>55k mi → ~2022</t>
        </is>
      </c>
      <c r="F39" s="28" t="n">
        <v>17200</v>
      </c>
      <c r="G39" s="14">
        <f>0.3379+(F39-17200)/120500+0.02751*$D$3+0.0*$F$3</f>
        <v/>
      </c>
      <c r="H39" s="29">
        <f>0.3571+(F39-17200)/120500+0.02751*$D$3+0.0*$F$3</f>
        <v/>
      </c>
      <c r="I39" s="29">
        <f>0.3808+(F39-17200)/120500+0.02751*$D$3+0.0*$F$3</f>
        <v/>
      </c>
      <c r="J39" s="29">
        <f>0.3628+(F39-17200)/80000+0.02751*$D$3+0.0*$F$3</f>
        <v/>
      </c>
      <c r="K39" s="29">
        <f>0.02751*$D$3+0.0*$F$3</f>
        <v/>
      </c>
      <c r="L39" s="29">
        <f>G39-K39</f>
        <v/>
      </c>
      <c r="M39" s="30" t="n">
        <v>1720</v>
      </c>
      <c r="N39" s="31" t="inlineStr">
        <is>
          <t>live listings ~55k mi, $14,500-$19,500</t>
        </is>
      </c>
      <c r="O39" s="32" t="inlineStr">
        <is>
          <t>✓ supported 2019–22  (buy ~2022 ✓)</t>
        </is>
      </c>
      <c r="P39" s="33" t="n">
        <v>0.498</v>
      </c>
      <c r="Q39" s="42" t="n">
        <v>5</v>
      </c>
      <c r="R39" s="29" t="n">
        <v>0.455</v>
      </c>
      <c r="S39" s="29" t="n">
        <v>0.546</v>
      </c>
      <c r="T39" s="35" t="n">
        <v>0.534</v>
      </c>
      <c r="U39" s="29" t="n">
        <v>0.125</v>
      </c>
      <c r="V39" s="30" t="n">
        <v>15003</v>
      </c>
      <c r="W39" s="36">
        <f>IFERROR(G39*INDEX('Charts data (helper)'!$BI$119:$DZ$128,MATCH($Q$3,'Charts data (helper)'!$BH$119:$BH$128,0),MATCH($B39,'Charts data (helper)'!$BI$118:$DZ$118,0))/INDEX('Charts data (helper)'!$BI$119:$DZ$128,MATCH(0.07,'Charts data (helper)'!$BH$119:$BH$128,0),MATCH($B39,'Charts data (helper)'!$BI$118:$DZ$118,0)),G39)</f>
        <v/>
      </c>
      <c r="X39" s="16">
        <f>RANK(W39,$W$6:$W$76,1)</f>
        <v/>
      </c>
    </row>
    <row r="40">
      <c r="A40" s="16" t="n">
        <v>35</v>
      </c>
      <c r="B40" s="8" t="inlineStr">
        <is>
          <t>Toyota Sienna (V6)</t>
        </is>
      </c>
      <c r="C40" s="16" t="inlineStr">
        <is>
          <t>Van</t>
        </is>
      </c>
      <c r="D40" s="16" t="inlineStr">
        <is>
          <t>gas</t>
        </is>
      </c>
      <c r="E40" s="8" t="inlineStr">
        <is>
          <t>65k mi → ~2020</t>
        </is>
      </c>
      <c r="F40" s="28" t="n">
        <v>22333</v>
      </c>
      <c r="G40" s="14">
        <f>0.3065+(F40-22333)/179400+0.0342*$D$3+0.0*$F$3</f>
        <v/>
      </c>
      <c r="H40" s="29">
        <f>0.3217+(F40-22333)/179400+0.0342*$D$3+0.0*$F$3</f>
        <v/>
      </c>
      <c r="I40" s="29">
        <f>0.336+(F40-22333)/179400+0.0342*$D$3+0.0*$F$3</f>
        <v/>
      </c>
      <c r="J40" s="29">
        <f>0.3502+(F40-22333)/123000+0.0342*$D$3+0.0*$F$3</f>
        <v/>
      </c>
      <c r="K40" s="29">
        <f>0.0342*$D$3+0.0*$F$3</f>
        <v/>
      </c>
      <c r="L40" s="29">
        <f>G40-K40</f>
        <v/>
      </c>
      <c r="M40" s="30" t="n">
        <v>1720</v>
      </c>
      <c r="N40" s="31" t="inlineStr">
        <is>
          <t>live listings ~65k mi, $18,500-$25,500</t>
        </is>
      </c>
      <c r="O40" s="37" t="inlineStr">
        <is>
          <t>✗ not on list</t>
        </is>
      </c>
      <c r="P40" s="33" t="n">
        <v>0.483</v>
      </c>
      <c r="Q40" s="42" t="n">
        <v>5</v>
      </c>
      <c r="R40" s="29" t="n">
        <v>0.457</v>
      </c>
      <c r="S40" s="29" t="n">
        <v>0.533</v>
      </c>
      <c r="T40" s="35" t="n">
        <v>0.519</v>
      </c>
      <c r="U40" s="29" t="n">
        <v>0.192</v>
      </c>
      <c r="V40" s="30" t="n">
        <v>34480</v>
      </c>
      <c r="W40" s="36">
        <f>IFERROR(G40*INDEX('Charts data (helper)'!$BI$119:$DZ$128,MATCH($Q$3,'Charts data (helper)'!$BH$119:$BH$128,0),MATCH($B40,'Charts data (helper)'!$BI$118:$DZ$118,0))/INDEX('Charts data (helper)'!$BI$119:$DZ$128,MATCH(0.07,'Charts data (helper)'!$BH$119:$BH$128,0),MATCH($B40,'Charts data (helper)'!$BI$118:$DZ$118,0)),G40)</f>
        <v/>
      </c>
      <c r="X40" s="16">
        <f>RANK(W40,$W$6:$W$76,1)</f>
        <v/>
      </c>
    </row>
    <row r="41">
      <c r="A41" s="16" t="n">
        <v>36</v>
      </c>
      <c r="B41" s="8" t="inlineStr">
        <is>
          <t>Mini Cooper</t>
        </is>
      </c>
      <c r="C41" s="16" t="inlineStr">
        <is>
          <t>Car</t>
        </is>
      </c>
      <c r="D41" s="16" t="inlineStr">
        <is>
          <t>gas</t>
        </is>
      </c>
      <c r="E41" s="8" t="inlineStr">
        <is>
          <t>45k mi → ~2023</t>
        </is>
      </c>
      <c r="F41" s="28" t="n">
        <v>18200</v>
      </c>
      <c r="G41" s="14">
        <f>0.3615+(F41-18200)/130500+0.02419*$D$3+0.0*$F$3</f>
        <v/>
      </c>
      <c r="H41" s="29">
        <f>0.3847+(F41-18200)/130500+0.02419*$D$3+0.0*$F$3</f>
        <v/>
      </c>
      <c r="I41" s="29">
        <f>0.413+(F41-18200)/130500+0.02419*$D$3+0.0*$F$3</f>
        <v/>
      </c>
      <c r="J41" s="29">
        <f>0.3922+(F41-18200)/90000+0.02419*$D$3+0.0*$F$3</f>
        <v/>
      </c>
      <c r="K41" s="29">
        <f>0.02419*$D$3+0.0*$F$3</f>
        <v/>
      </c>
      <c r="L41" s="29">
        <f>G41-K41</f>
        <v/>
      </c>
      <c r="M41" s="30" t="n">
        <v>1720</v>
      </c>
      <c r="N41" s="31" t="inlineStr">
        <is>
          <t>live listings ~45k mi, $15,000-$20,500</t>
        </is>
      </c>
      <c r="O41" s="37" t="inlineStr">
        <is>
          <t>✗ not on comma list</t>
        </is>
      </c>
      <c r="P41" s="33" t="n">
        <v>0.488</v>
      </c>
      <c r="Q41" s="42" t="n">
        <v>5</v>
      </c>
      <c r="R41" s="29" t="n">
        <v>0.451</v>
      </c>
      <c r="S41" s="29" t="n">
        <v>0.5659999999999999</v>
      </c>
      <c r="T41" s="35" t="n">
        <v>0.528</v>
      </c>
      <c r="U41" s="29" t="n">
        <v>0.136</v>
      </c>
      <c r="V41" s="30" t="n">
        <v>17695</v>
      </c>
      <c r="W41" s="36">
        <f>IFERROR(G41*INDEX('Charts data (helper)'!$BI$119:$DZ$128,MATCH($Q$3,'Charts data (helper)'!$BH$119:$BH$128,0),MATCH($B41,'Charts data (helper)'!$BI$118:$DZ$118,0))/INDEX('Charts data (helper)'!$BI$119:$DZ$128,MATCH(0.07,'Charts data (helper)'!$BH$119:$BH$128,0),MATCH($B41,'Charts data (helper)'!$BI$118:$DZ$118,0)),G41)</f>
        <v/>
      </c>
      <c r="X41" s="16">
        <f>RANK(W41,$W$6:$W$76,1)</f>
        <v/>
      </c>
    </row>
    <row r="42">
      <c r="A42" s="16" t="n">
        <v>37</v>
      </c>
      <c r="B42" s="37" t="inlineStr">
        <is>
          <t>Ford Ranger (old compact)</t>
        </is>
      </c>
      <c r="C42" s="16" t="inlineStr">
        <is>
          <t>Truck</t>
        </is>
      </c>
      <c r="D42" s="16" t="inlineStr">
        <is>
          <t>gas</t>
        </is>
      </c>
      <c r="E42" s="8" t="inlineStr">
        <is>
          <t>55k mi → ~2011</t>
        </is>
      </c>
      <c r="F42" s="28" t="n">
        <v>11500</v>
      </c>
      <c r="G42" s="14">
        <f>0.3178+(F42-11500)/159500+0.03235*$D$3+0.0*$F$3</f>
        <v/>
      </c>
      <c r="H42" s="29">
        <f>0.3382+(F42-11500)/159500+0.03235*$D$3+0.0*$F$3</f>
        <v/>
      </c>
      <c r="I42" s="29">
        <f>0.358+(F42-11500)/159500+0.03235*$D$3+0.0*$F$3</f>
        <v/>
      </c>
      <c r="J42" s="29">
        <f>0.3275+(F42-11500)/110000+0.03235*$D$3+0.0*$F$3</f>
        <v/>
      </c>
      <c r="K42" s="29">
        <f>0.03235*$D$3+0.0*$F$3</f>
        <v/>
      </c>
      <c r="L42" s="29">
        <f>G42-K42</f>
        <v/>
      </c>
      <c r="M42" s="30" t="n">
        <v>1832</v>
      </c>
      <c r="N42" s="31" t="inlineStr">
        <is>
          <t>live listings ~55k mi, $9,500-$13,000</t>
        </is>
      </c>
      <c r="O42" s="37" t="inlineStr">
        <is>
          <t>✗ not supported</t>
        </is>
      </c>
      <c r="P42" s="33" t="n">
        <v>0.498</v>
      </c>
      <c r="Q42" s="42" t="n">
        <v>5</v>
      </c>
      <c r="R42" s="29" t="n">
        <v>0.467</v>
      </c>
      <c r="S42" s="29" t="n">
        <v>0.547</v>
      </c>
      <c r="T42" s="35" t="n">
        <v>0.569</v>
      </c>
      <c r="U42" s="29" t="n">
        <v>0.093</v>
      </c>
      <c r="V42" s="30" t="n">
        <v>14876</v>
      </c>
      <c r="W42" s="36">
        <f>IFERROR(G42*INDEX('Charts data (helper)'!$BI$119:$DZ$128,MATCH($Q$3,'Charts data (helper)'!$BH$119:$BH$128,0),MATCH($B42,'Charts data (helper)'!$BI$118:$DZ$118,0))/INDEX('Charts data (helper)'!$BI$119:$DZ$128,MATCH(0.07,'Charts data (helper)'!$BH$119:$BH$128,0),MATCH($B42,'Charts data (helper)'!$BI$118:$DZ$118,0)),G42)</f>
        <v/>
      </c>
      <c r="X42" s="16">
        <f>RANK(W42,$W$6:$W$76,1)</f>
        <v/>
      </c>
    </row>
    <row r="43">
      <c r="A43" s="16" t="n">
        <v>38</v>
      </c>
      <c r="B43" s="8" t="inlineStr">
        <is>
          <t>Fiat 500X</t>
        </is>
      </c>
      <c r="C43" s="16" t="inlineStr">
        <is>
          <t>SUV AWD</t>
        </is>
      </c>
      <c r="D43" s="16" t="inlineStr">
        <is>
          <t>gas</t>
        </is>
      </c>
      <c r="E43" s="8" t="inlineStr">
        <is>
          <t>40k mi → ~2023</t>
        </is>
      </c>
      <c r="F43" s="28" t="n">
        <v>14800</v>
      </c>
      <c r="G43" s="14">
        <f>0.3403+(F43-14800)/109500+0.02931*$D$3+0.0*$F$3</f>
        <v/>
      </c>
      <c r="H43" s="29">
        <f>0.3537+(F43-14800)/109500+0.02931*$D$3+0.0*$F$3</f>
        <v/>
      </c>
      <c r="I43" s="29">
        <f>0.3734+(F43-14800)/109500+0.02931*$D$3+0.0*$F$3</f>
        <v/>
      </c>
      <c r="J43" s="29">
        <f>0.3652+(F43-14800)/75000+0.02931*$D$3+0.0*$F$3</f>
        <v/>
      </c>
      <c r="K43" s="29">
        <f>0.02931*$D$3+0.0*$F$3</f>
        <v/>
      </c>
      <c r="L43" s="29">
        <f>G43-K43</f>
        <v/>
      </c>
      <c r="M43" s="30" t="n">
        <v>1640</v>
      </c>
      <c r="N43" s="31" t="inlineStr">
        <is>
          <t>live listings ~40k mi, $12,500-$17,000</t>
        </is>
      </c>
      <c r="O43" s="37" t="inlineStr">
        <is>
          <t>✗ not on comma list</t>
        </is>
      </c>
      <c r="P43" s="33" t="n">
        <v>0.51</v>
      </c>
      <c r="Q43" s="42" t="n">
        <v>5</v>
      </c>
      <c r="R43" s="29" t="n">
        <v>0.475</v>
      </c>
      <c r="S43" s="29" t="n">
        <v>0.549</v>
      </c>
      <c r="T43" s="35" t="n">
        <v>0.534</v>
      </c>
      <c r="U43" s="29" t="n">
        <v>0.104</v>
      </c>
      <c r="V43" s="30" t="n">
        <v>11368</v>
      </c>
      <c r="W43" s="36">
        <f>IFERROR(G43*INDEX('Charts data (helper)'!$BI$119:$DZ$128,MATCH($Q$3,'Charts data (helper)'!$BH$119:$BH$128,0),MATCH($B43,'Charts data (helper)'!$BI$118:$DZ$118,0))/INDEX('Charts data (helper)'!$BI$119:$DZ$128,MATCH(0.07,'Charts data (helper)'!$BH$119:$BH$128,0),MATCH($B43,'Charts data (helper)'!$BI$118:$DZ$118,0)),G43)</f>
        <v/>
      </c>
      <c r="X43" s="16">
        <f>RANK(W43,$W$6:$W$76,1)</f>
        <v/>
      </c>
    </row>
    <row r="44">
      <c r="A44" s="16" t="n">
        <v>39</v>
      </c>
      <c r="B44" s="8" t="inlineStr">
        <is>
          <t>VW GTI</t>
        </is>
      </c>
      <c r="C44" s="16" t="inlineStr">
        <is>
          <t>Car</t>
        </is>
      </c>
      <c r="D44" s="16" t="inlineStr">
        <is>
          <t>gas</t>
        </is>
      </c>
      <c r="E44" s="8" t="inlineStr">
        <is>
          <t>60k mi → ~2021</t>
        </is>
      </c>
      <c r="F44" s="28" t="n">
        <v>19000</v>
      </c>
      <c r="G44" s="14">
        <f>0.3587+(F44-19000)/135000+0.0266*$D$3+0.0*$F$3</f>
        <v/>
      </c>
      <c r="H44" s="29">
        <f>0.3807+(F44-19000)/135000+0.0266*$D$3+0.0*$F$3</f>
        <v/>
      </c>
      <c r="I44" s="29">
        <f>0.4053+(F44-19000)/135000+0.0266*$D$3+0.0*$F$3</f>
        <v/>
      </c>
      <c r="J44" s="29">
        <f>0.3971+(F44-19000)/90000+0.0266*$D$3+0.0*$F$3</f>
        <v/>
      </c>
      <c r="K44" s="29">
        <f>0.0266*$D$3+0.0*$F$3</f>
        <v/>
      </c>
      <c r="L44" s="29">
        <f>G44-K44</f>
        <v/>
      </c>
      <c r="M44" s="30" t="n">
        <v>1720</v>
      </c>
      <c r="N44" s="31" t="inlineStr">
        <is>
          <t>live listings ~60k mi, $16,000-$21,500</t>
        </is>
      </c>
      <c r="O44" s="38" t="inlineStr">
        <is>
          <t>◑ VW MQB community port, select yrs</t>
        </is>
      </c>
      <c r="P44" s="33" t="n">
        <v>0.499</v>
      </c>
      <c r="Q44" s="42" t="n">
        <v>5</v>
      </c>
      <c r="R44" s="29" t="n">
        <v>0.464</v>
      </c>
      <c r="S44" s="29" t="n">
        <v>0.574</v>
      </c>
      <c r="T44" s="35" t="n">
        <v>0.512</v>
      </c>
      <c r="U44" s="29" t="n">
        <v>0.143</v>
      </c>
      <c r="V44" s="30" t="n">
        <v>19361</v>
      </c>
      <c r="W44" s="36">
        <f>IFERROR(G44*INDEX('Charts data (helper)'!$BI$119:$DZ$128,MATCH($Q$3,'Charts data (helper)'!$BH$119:$BH$128,0),MATCH($B44,'Charts data (helper)'!$BI$118:$DZ$118,0))/INDEX('Charts data (helper)'!$BI$119:$DZ$128,MATCH(0.07,'Charts data (helper)'!$BH$119:$BH$128,0),MATCH($B44,'Charts data (helper)'!$BI$118:$DZ$118,0)),G44)</f>
        <v/>
      </c>
      <c r="X44" s="16">
        <f>RANK(W44,$W$6:$W$76,1)</f>
        <v/>
      </c>
    </row>
    <row r="45">
      <c r="A45" s="16" t="n">
        <v>40</v>
      </c>
      <c r="B45" s="8" t="inlineStr">
        <is>
          <t>Kia Sportage</t>
        </is>
      </c>
      <c r="C45" s="16" t="inlineStr">
        <is>
          <t>SUV AWD</t>
        </is>
      </c>
      <c r="D45" s="16" t="inlineStr">
        <is>
          <t>gas</t>
        </is>
      </c>
      <c r="E45" s="8" t="inlineStr">
        <is>
          <t>75k mi → ~2020</t>
        </is>
      </c>
      <c r="F45" s="28" t="n">
        <v>15667</v>
      </c>
      <c r="G45" s="14">
        <f>0.3451+(F45-15667)/109600+0.02931*$D$3+0.0*$F$3</f>
        <v/>
      </c>
      <c r="H45" s="29">
        <f>0.3657+(F45-15667)/109600+0.02931*$D$3+0.0*$F$3</f>
        <v/>
      </c>
      <c r="I45" s="29">
        <f>0.3907+(F45-15667)/109600+0.02931*$D$3+0.0*$F$3</f>
        <v/>
      </c>
      <c r="J45" s="29">
        <f>0.38+(F45-15667)/67000+0.02931*$D$3+0.0*$F$3</f>
        <v/>
      </c>
      <c r="K45" s="29">
        <f>0.02931*$D$3+0.0*$F$3</f>
        <v/>
      </c>
      <c r="L45" s="29">
        <f>G45-K45</f>
        <v/>
      </c>
      <c r="M45" s="30" t="n">
        <v>1680</v>
      </c>
      <c r="N45" s="31" t="inlineStr">
        <is>
          <t>live listings ~75k mi, $13,000-$18,000</t>
        </is>
      </c>
      <c r="O45" s="38" t="inlineStr">
        <is>
          <t>◑ Hyundai/Kia SCC, select yrs</t>
        </is>
      </c>
      <c r="P45" s="33" t="n">
        <v>0.514</v>
      </c>
      <c r="Q45" s="42" t="n">
        <v>5</v>
      </c>
      <c r="R45" s="29" t="n">
        <v>0.468</v>
      </c>
      <c r="S45" s="29" t="n">
        <v>0.571</v>
      </c>
      <c r="T45" s="35" t="n">
        <v>0.496</v>
      </c>
      <c r="U45" s="29" t="n">
        <v>0.11</v>
      </c>
      <c r="V45" s="30" t="n">
        <v>12048</v>
      </c>
      <c r="W45" s="36">
        <f>IFERROR(G45*INDEX('Charts data (helper)'!$BI$119:$DZ$128,MATCH($Q$3,'Charts data (helper)'!$BH$119:$BH$128,0),MATCH($B45,'Charts data (helper)'!$BI$118:$DZ$118,0))/INDEX('Charts data (helper)'!$BI$119:$DZ$128,MATCH(0.07,'Charts data (helper)'!$BH$119:$BH$128,0),MATCH($B45,'Charts data (helper)'!$BI$118:$DZ$118,0)),G45)</f>
        <v/>
      </c>
      <c r="X45" s="16">
        <f>RANK(W45,$W$6:$W$76,1)</f>
        <v/>
      </c>
    </row>
    <row r="46">
      <c r="A46" s="16" t="n">
        <v>41</v>
      </c>
      <c r="B46" s="8" t="inlineStr">
        <is>
          <t>Ford Escape</t>
        </is>
      </c>
      <c r="C46" s="16" t="inlineStr">
        <is>
          <t>SUV</t>
        </is>
      </c>
      <c r="D46" s="16" t="inlineStr">
        <is>
          <t>gas</t>
        </is>
      </c>
      <c r="E46" s="8" t="inlineStr">
        <is>
          <t>65k mi → ~2021</t>
        </is>
      </c>
      <c r="F46" s="28" t="n">
        <v>15000</v>
      </c>
      <c r="G46" s="14">
        <f>0.3446+(F46-15000)/105300+0.0296*$D$3+0.0*$F$3</f>
        <v/>
      </c>
      <c r="H46" s="29">
        <f>0.3664+(F46-15000)/105300+0.0296*$D$3+0.0*$F$3</f>
        <v/>
      </c>
      <c r="I46" s="29">
        <f>0.3906+(F46-15000)/105300+0.0296*$D$3+0.0*$F$3</f>
        <v/>
      </c>
      <c r="J46" s="29">
        <f>0.3848+(F46-15000)/66000+0.0296*$D$3+0.0*$F$3</f>
        <v/>
      </c>
      <c r="K46" s="29">
        <f>0.0296*$D$3+0.0*$F$3</f>
        <v/>
      </c>
      <c r="L46" s="29">
        <f>G46-K46</f>
        <v/>
      </c>
      <c r="M46" s="30" t="n">
        <v>1720</v>
      </c>
      <c r="N46" s="31" t="inlineStr">
        <is>
          <t>live listings ~65k mi, $12,500-$17,000</t>
        </is>
      </c>
      <c r="O46" s="32" t="inlineStr">
        <is>
          <t>✓ supported 2020–24  (buy ~2021 ✓)</t>
        </is>
      </c>
      <c r="P46" s="33" t="n">
        <v>0.517</v>
      </c>
      <c r="Q46" s="42" t="n">
        <v>5</v>
      </c>
      <c r="R46" s="29" t="n">
        <v>0.462</v>
      </c>
      <c r="S46" s="29" t="n">
        <v>0.574</v>
      </c>
      <c r="T46" s="35" t="n">
        <v>0.5570000000000001</v>
      </c>
      <c r="U46" s="29" t="n">
        <v>0.104</v>
      </c>
      <c r="V46" s="30" t="n">
        <v>10948</v>
      </c>
      <c r="W46" s="36">
        <f>IFERROR(G46*INDEX('Charts data (helper)'!$BI$119:$DZ$128,MATCH($Q$3,'Charts data (helper)'!$BH$119:$BH$128,0),MATCH($B46,'Charts data (helper)'!$BI$118:$DZ$118,0))/INDEX('Charts data (helper)'!$BI$119:$DZ$128,MATCH(0.07,'Charts data (helper)'!$BH$119:$BH$128,0),MATCH($B46,'Charts data (helper)'!$BI$118:$DZ$118,0)),G46)</f>
        <v/>
      </c>
      <c r="X46" s="16">
        <f>RANK(W46,$W$6:$W$76,1)</f>
        <v/>
      </c>
    </row>
    <row r="47">
      <c r="A47" s="16" t="n">
        <v>42</v>
      </c>
      <c r="B47" s="8" t="inlineStr">
        <is>
          <t>Toyota Highlander</t>
        </is>
      </c>
      <c r="C47" s="16" t="inlineStr">
        <is>
          <t>SUV AWD</t>
        </is>
      </c>
      <c r="D47" s="16" t="inlineStr">
        <is>
          <t>gas</t>
        </is>
      </c>
      <c r="E47" s="8" t="inlineStr">
        <is>
          <t>85k mi → ~2019</t>
        </is>
      </c>
      <c r="F47" s="28" t="n">
        <v>25000</v>
      </c>
      <c r="G47" s="14">
        <f>0.3508+(F47-25000)/159400+0.02954*$D$3+0.0*$F$3</f>
        <v/>
      </c>
      <c r="H47" s="29">
        <f>0.3723+(F47-25000)/159400+0.02954*$D$3+0.0*$F$3</f>
        <v/>
      </c>
      <c r="I47" s="29">
        <f>0.394+(F47-25000)/159400+0.02954*$D$3+0.0*$F$3</f>
        <v/>
      </c>
      <c r="J47" s="29">
        <f>0.4075+(F47-25000)/103000+0.02954*$D$3+0.0*$F$3</f>
        <v/>
      </c>
      <c r="K47" s="29">
        <f>0.02954*$D$3+0.0*$F$3</f>
        <v/>
      </c>
      <c r="L47" s="29">
        <f>G47-K47</f>
        <v/>
      </c>
      <c r="M47" s="30" t="n">
        <v>1760</v>
      </c>
      <c r="N47" s="31" t="inlineStr">
        <is>
          <t>live listings ~85k mi, $21,000-$28,500</t>
        </is>
      </c>
      <c r="O47" s="38" t="inlineStr">
        <is>
          <t>◑ select Toyota TSS years</t>
        </is>
      </c>
      <c r="P47" s="33" t="n">
        <v>0.508</v>
      </c>
      <c r="Q47" s="42" t="n">
        <v>5</v>
      </c>
      <c r="R47" s="29" t="n">
        <v>0.467</v>
      </c>
      <c r="S47" s="29" t="n">
        <v>0.571</v>
      </c>
      <c r="T47" s="35" t="n">
        <v>0.593</v>
      </c>
      <c r="U47" s="29" t="n">
        <v>0.203</v>
      </c>
      <c r="V47" s="30" t="n">
        <v>32310</v>
      </c>
      <c r="W47" s="36">
        <f>IFERROR(G47*INDEX('Charts data (helper)'!$BI$119:$DZ$128,MATCH($Q$3,'Charts data (helper)'!$BH$119:$BH$128,0),MATCH($B47,'Charts data (helper)'!$BI$118:$DZ$118,0))/INDEX('Charts data (helper)'!$BI$119:$DZ$128,MATCH(0.07,'Charts data (helper)'!$BH$119:$BH$128,0),MATCH($B47,'Charts data (helper)'!$BI$118:$DZ$118,0)),G47)</f>
        <v/>
      </c>
      <c r="X47" s="16">
        <f>RANK(W47,$W$6:$W$76,1)</f>
        <v/>
      </c>
    </row>
    <row r="48">
      <c r="A48" s="16" t="n">
        <v>43</v>
      </c>
      <c r="B48" s="8" t="inlineStr">
        <is>
          <t>Hyundai Tucson</t>
        </is>
      </c>
      <c r="C48" s="16" t="inlineStr">
        <is>
          <t>SUV</t>
        </is>
      </c>
      <c r="D48" s="16" t="inlineStr">
        <is>
          <t>gas</t>
        </is>
      </c>
      <c r="E48" s="8" t="inlineStr">
        <is>
          <t>55k mi → ~2022</t>
        </is>
      </c>
      <c r="F48" s="28" t="n">
        <v>19541</v>
      </c>
      <c r="G48" s="14">
        <f>0.3554+(F48-19541)/115300+0.03007*$D$3+0.0*$F$3</f>
        <v/>
      </c>
      <c r="H48" s="29">
        <f>0.3702+(F48-19541)/115300+0.03007*$D$3+0.0*$F$3</f>
        <v/>
      </c>
      <c r="I48" s="29">
        <f>0.3949+(F48-19541)/115300+0.03007*$D$3+0.0*$F$3</f>
        <v/>
      </c>
      <c r="J48" s="29">
        <f>0.3698+(F48-19541)/76000+0.03007*$D$3+0.0*$F$3</f>
        <v/>
      </c>
      <c r="K48" s="29">
        <f>0.03007*$D$3+0.0*$F$3</f>
        <v/>
      </c>
      <c r="L48" s="29">
        <f>G48-K48</f>
        <v/>
      </c>
      <c r="M48" s="30" t="n">
        <v>1680</v>
      </c>
      <c r="N48" s="31" t="inlineStr">
        <is>
          <t>live listings ~55k mi, $16,500-$22,000</t>
        </is>
      </c>
      <c r="O48" s="32" t="inlineStr">
        <is>
          <t>✓ supported 2021–24  (buy ~2022 ✓)</t>
        </is>
      </c>
      <c r="P48" s="33" t="n">
        <v>0.532</v>
      </c>
      <c r="Q48" s="42" t="n">
        <v>5</v>
      </c>
      <c r="R48" s="29" t="n">
        <v>0.491</v>
      </c>
      <c r="S48" s="29" t="n">
        <v>0.579</v>
      </c>
      <c r="T48" s="35" t="n">
        <v>0.502</v>
      </c>
      <c r="U48" s="29" t="n">
        <v>0.139</v>
      </c>
      <c r="V48" s="30" t="n">
        <v>16068</v>
      </c>
      <c r="W48" s="36">
        <f>IFERROR(G48*INDEX('Charts data (helper)'!$BI$119:$DZ$128,MATCH($Q$3,'Charts data (helper)'!$BH$119:$BH$128,0),MATCH($B48,'Charts data (helper)'!$BI$118:$DZ$118,0))/INDEX('Charts data (helper)'!$BI$119:$DZ$128,MATCH(0.07,'Charts data (helper)'!$BH$119:$BH$128,0),MATCH($B48,'Charts data (helper)'!$BI$118:$DZ$118,0)),G48)</f>
        <v/>
      </c>
      <c r="X48" s="16">
        <f>RANK(W48,$W$6:$W$76,1)</f>
        <v/>
      </c>
    </row>
    <row r="49">
      <c r="A49" s="16" t="n">
        <v>44</v>
      </c>
      <c r="B49" s="8" t="inlineStr">
        <is>
          <t>Toyota 4Runner</t>
        </is>
      </c>
      <c r="C49" s="16" t="inlineStr">
        <is>
          <t>SUV AWD</t>
        </is>
      </c>
      <c r="D49" s="16" t="inlineStr">
        <is>
          <t>gas</t>
        </is>
      </c>
      <c r="E49" s="8" t="inlineStr">
        <is>
          <t>60k mi → ~2021</t>
        </is>
      </c>
      <c r="F49" s="28" t="n">
        <v>36333</v>
      </c>
      <c r="G49" s="14">
        <f>0.3343+(F49-36333)/229900+0.0343*$D$3+0.0*$F$3</f>
        <v/>
      </c>
      <c r="H49" s="29">
        <f>0.3541+(F49-36333)/229900+0.0343*$D$3+0.0*$F$3</f>
        <v/>
      </c>
      <c r="I49" s="29">
        <f>0.3712+(F49-36333)/229900+0.0343*$D$3+0.0*$F$3</f>
        <v/>
      </c>
      <c r="J49" s="29">
        <f>0.3918+(F49-36333)/163000+0.0343*$D$3+0.0*$F$3</f>
        <v/>
      </c>
      <c r="K49" s="29">
        <f>0.0343*$D$3+0.0*$F$3</f>
        <v/>
      </c>
      <c r="L49" s="29">
        <f>G49-K49</f>
        <v/>
      </c>
      <c r="M49" s="30" t="n">
        <v>1800</v>
      </c>
      <c r="N49" s="31" t="inlineStr">
        <is>
          <t>live listings ~60k mi, $30,500-$41,500</t>
        </is>
      </c>
      <c r="O49" s="37" t="inlineStr">
        <is>
          <t>✗ not on list</t>
        </is>
      </c>
      <c r="P49" s="33" t="n">
        <v>0.512</v>
      </c>
      <c r="Q49" s="42" t="n">
        <v>5</v>
      </c>
      <c r="R49" s="29" t="n">
        <v>0.473</v>
      </c>
      <c r="S49" s="29" t="n">
        <v>0.57</v>
      </c>
      <c r="T49" s="35" t="n">
        <v>0.508</v>
      </c>
      <c r="U49" s="29" t="n">
        <v>0.365</v>
      </c>
      <c r="V49" s="30" t="n">
        <v>83878</v>
      </c>
      <c r="W49" s="36">
        <f>IFERROR(G49*INDEX('Charts data (helper)'!$BI$119:$DZ$128,MATCH($Q$3,'Charts data (helper)'!$BH$119:$BH$128,0),MATCH($B49,'Charts data (helper)'!$BI$118:$DZ$118,0))/INDEX('Charts data (helper)'!$BI$119:$DZ$128,MATCH(0.07,'Charts data (helper)'!$BH$119:$BH$128,0),MATCH($B49,'Charts data (helper)'!$BI$118:$DZ$118,0)),G49)</f>
        <v/>
      </c>
      <c r="X49" s="16">
        <f>RANK(W49,$W$6:$W$76,1)</f>
        <v/>
      </c>
    </row>
    <row r="50">
      <c r="A50" s="16" t="n">
        <v>45</v>
      </c>
      <c r="B50" s="8" t="inlineStr">
        <is>
          <t>Honda Odyssey</t>
        </is>
      </c>
      <c r="C50" s="16" t="inlineStr">
        <is>
          <t>Van</t>
        </is>
      </c>
      <c r="D50" s="16" t="inlineStr">
        <is>
          <t>gas</t>
        </is>
      </c>
      <c r="E50" s="8" t="inlineStr">
        <is>
          <t>80k mi → ~2020</t>
        </is>
      </c>
      <c r="F50" s="28" t="n">
        <v>20333</v>
      </c>
      <c r="G50" s="14">
        <f>0.348+(F50-20333)/144900+0.03191*$D$3+0.0*$F$3</f>
        <v/>
      </c>
      <c r="H50" s="29">
        <f>0.3704+(F50-20333)/144900+0.03191*$D$3+0.0*$F$3</f>
        <v/>
      </c>
      <c r="I50" s="29">
        <f>0.3935+(F50-20333)/144900+0.03191*$D$3+0.0*$F$3</f>
        <v/>
      </c>
      <c r="J50" s="29">
        <f>0.3934+(F50-20333)/93000+0.03191*$D$3+0.0*$F$3</f>
        <v/>
      </c>
      <c r="K50" s="29">
        <f>0.03191*$D$3+0.0*$F$3</f>
        <v/>
      </c>
      <c r="L50" s="29">
        <f>G50-K50</f>
        <v/>
      </c>
      <c r="M50" s="30" t="n">
        <v>1680</v>
      </c>
      <c r="N50" s="31" t="inlineStr">
        <is>
          <t>live listings ~80k mi, $17,000-$23,000</t>
        </is>
      </c>
      <c r="O50" s="38" t="inlineStr">
        <is>
          <t>◑ Honda Sensing years</t>
        </is>
      </c>
      <c r="P50" s="33" t="n">
        <v>0.512</v>
      </c>
      <c r="Q50" s="42" t="n">
        <v>5</v>
      </c>
      <c r="R50" s="29" t="n">
        <v>0.472</v>
      </c>
      <c r="S50" s="29" t="n">
        <v>0.58</v>
      </c>
      <c r="T50" s="35" t="n">
        <v>0.517</v>
      </c>
      <c r="U50" s="29" t="n">
        <v>0.158</v>
      </c>
      <c r="V50" s="30" t="n">
        <v>22891</v>
      </c>
      <c r="W50" s="36">
        <f>IFERROR(G50*INDEX('Charts data (helper)'!$BI$119:$DZ$128,MATCH($Q$3,'Charts data (helper)'!$BH$119:$BH$128,0),MATCH($B50,'Charts data (helper)'!$BI$118:$DZ$118,0))/INDEX('Charts data (helper)'!$BI$119:$DZ$128,MATCH(0.07,'Charts data (helper)'!$BH$119:$BH$128,0),MATCH($B50,'Charts data (helper)'!$BI$118:$DZ$118,0)),G50)</f>
        <v/>
      </c>
      <c r="X50" s="16">
        <f>RANK(W50,$W$6:$W$76,1)</f>
        <v/>
      </c>
    </row>
    <row r="51">
      <c r="A51" s="16" t="n">
        <v>46</v>
      </c>
      <c r="B51" s="8" t="inlineStr">
        <is>
          <t>Kia Sorento</t>
        </is>
      </c>
      <c r="C51" s="16" t="inlineStr">
        <is>
          <t>SUV AWD</t>
        </is>
      </c>
      <c r="D51" s="16" t="inlineStr">
        <is>
          <t>gas</t>
        </is>
      </c>
      <c r="E51" s="8" t="inlineStr">
        <is>
          <t>75k mi → ~2020</t>
        </is>
      </c>
      <c r="F51" s="28" t="n">
        <v>18333</v>
      </c>
      <c r="G51" s="14">
        <f>0.3555+(F51-18333)/125200+0.03061*$D$3+0.0*$F$3</f>
        <v/>
      </c>
      <c r="H51" s="29">
        <f>0.3755+(F51-18333)/125200+0.03061*$D$3+0.0*$F$3</f>
        <v/>
      </c>
      <c r="I51" s="29">
        <f>0.4017+(F51-18333)/125200+0.03061*$D$3+0.0*$F$3</f>
        <v/>
      </c>
      <c r="J51" s="29">
        <f>0.3991+(F51-18333)/79000+0.03061*$D$3+0.0*$F$3</f>
        <v/>
      </c>
      <c r="K51" s="29">
        <f>0.03061*$D$3+0.0*$F$3</f>
        <v/>
      </c>
      <c r="L51" s="29">
        <f>G51-K51</f>
        <v/>
      </c>
      <c r="M51" s="30" t="n">
        <v>1720</v>
      </c>
      <c r="N51" s="31" t="inlineStr">
        <is>
          <t>live listings ~75k mi, $15,500-$21,000</t>
        </is>
      </c>
      <c r="O51" s="38" t="inlineStr">
        <is>
          <t>◑ Hyundai/Kia SCC, select yrs</t>
        </is>
      </c>
      <c r="P51" s="33" t="n">
        <v>0.524</v>
      </c>
      <c r="Q51" s="42" t="n">
        <v>5</v>
      </c>
      <c r="R51" s="29" t="n">
        <v>0.482</v>
      </c>
      <c r="S51" s="29" t="n">
        <v>0.586</v>
      </c>
      <c r="T51" s="35" t="n">
        <v>0.52</v>
      </c>
      <c r="U51" s="29" t="n">
        <v>0.135</v>
      </c>
      <c r="V51" s="30" t="n">
        <v>16841</v>
      </c>
      <c r="W51" s="36">
        <f>IFERROR(G51*INDEX('Charts data (helper)'!$BI$119:$DZ$128,MATCH($Q$3,'Charts data (helper)'!$BH$119:$BH$128,0),MATCH($B51,'Charts data (helper)'!$BI$118:$DZ$118,0))/INDEX('Charts data (helper)'!$BI$119:$DZ$128,MATCH(0.07,'Charts data (helper)'!$BH$119:$BH$128,0),MATCH($B51,'Charts data (helper)'!$BI$118:$DZ$118,0)),G51)</f>
        <v/>
      </c>
      <c r="X51" s="16">
        <f>RANK(W51,$W$6:$W$76,1)</f>
        <v/>
      </c>
    </row>
    <row r="52">
      <c r="A52" s="16" t="n">
        <v>47</v>
      </c>
      <c r="B52" s="8" t="inlineStr">
        <is>
          <t>Hyundai Santa Fe</t>
        </is>
      </c>
      <c r="C52" s="16" t="inlineStr">
        <is>
          <t>SUV AWD</t>
        </is>
      </c>
      <c r="D52" s="16" t="inlineStr">
        <is>
          <t>gas</t>
        </is>
      </c>
      <c r="E52" s="8" t="inlineStr">
        <is>
          <t>80k mi → ~2020</t>
        </is>
      </c>
      <c r="F52" s="28" t="n">
        <v>16667</v>
      </c>
      <c r="G52" s="14">
        <f>0.3573+(F52-16667)/109800+0.03046*$D$3+0.0*$F$3</f>
        <v/>
      </c>
      <c r="H52" s="29">
        <f>0.3797+(F52-16667)/109800+0.03046*$D$3+0.0*$F$3</f>
        <v/>
      </c>
      <c r="I52" s="29">
        <f>0.409+(F52-16667)/109800+0.03046*$D$3+0.0*$F$3</f>
        <v/>
      </c>
      <c r="J52" s="29">
        <f>0.4051+(F52-16667)/66000+0.03046*$D$3+0.0*$F$3</f>
        <v/>
      </c>
      <c r="K52" s="29">
        <f>0.03046*$D$3+0.0*$F$3</f>
        <v/>
      </c>
      <c r="L52" s="29">
        <f>G52-K52</f>
        <v/>
      </c>
      <c r="M52" s="30" t="n">
        <v>1720</v>
      </c>
      <c r="N52" s="31" t="inlineStr">
        <is>
          <t>live listings ~80k mi, $14,000-$19,000</t>
        </is>
      </c>
      <c r="O52" s="38" t="inlineStr">
        <is>
          <t>◑ Hyundai/Kia SCC, select yrs</t>
        </is>
      </c>
      <c r="P52" s="33" t="n">
        <v>0.533</v>
      </c>
      <c r="Q52" s="42" t="n">
        <v>5</v>
      </c>
      <c r="R52" s="29" t="n">
        <v>0.487</v>
      </c>
      <c r="S52" s="29" t="n">
        <v>0.594</v>
      </c>
      <c r="T52" s="35" t="n">
        <v>0.502</v>
      </c>
      <c r="U52" s="29" t="n">
        <v>0.117</v>
      </c>
      <c r="V52" s="30" t="n">
        <v>12847</v>
      </c>
      <c r="W52" s="36">
        <f>IFERROR(G52*INDEX('Charts data (helper)'!$BI$119:$DZ$128,MATCH($Q$3,'Charts data (helper)'!$BH$119:$BH$128,0),MATCH($B52,'Charts data (helper)'!$BI$118:$DZ$118,0))/INDEX('Charts data (helper)'!$BI$119:$DZ$128,MATCH(0.07,'Charts data (helper)'!$BH$119:$BH$128,0),MATCH($B52,'Charts data (helper)'!$BI$118:$DZ$118,0)),G52)</f>
        <v/>
      </c>
      <c r="X52" s="16">
        <f>RANK(W52,$W$6:$W$76,1)</f>
        <v/>
      </c>
    </row>
    <row r="53">
      <c r="A53" s="16" t="n">
        <v>48</v>
      </c>
      <c r="B53" s="8" t="inlineStr">
        <is>
          <t>VW Tiguan</t>
        </is>
      </c>
      <c r="C53" s="16" t="inlineStr">
        <is>
          <t>SUV AWD</t>
        </is>
      </c>
      <c r="D53" s="16" t="inlineStr">
        <is>
          <t>gas</t>
        </is>
      </c>
      <c r="E53" s="8" t="inlineStr">
        <is>
          <t>60k mi → ~2021</t>
        </is>
      </c>
      <c r="F53" s="28" t="n">
        <v>16800</v>
      </c>
      <c r="G53" s="14">
        <f>0.3577+(F53-16800)/124600+0.03065*$D$3+0.0*$F$3</f>
        <v/>
      </c>
      <c r="H53" s="29">
        <f>0.3778+(F53-16800)/124600+0.03065*$D$3+0.0*$F$3</f>
        <v/>
      </c>
      <c r="I53" s="29">
        <f>0.4046+(F53-16800)/124600+0.03065*$D$3+0.0*$F$3</f>
        <v/>
      </c>
      <c r="J53" s="29">
        <f>0.3917+(F53-16800)/82000+0.03065*$D$3+0.0*$F$3</f>
        <v/>
      </c>
      <c r="K53" s="29">
        <f>0.03065*$D$3+0.0*$F$3</f>
        <v/>
      </c>
      <c r="L53" s="29">
        <f>G53-K53</f>
        <v/>
      </c>
      <c r="M53" s="30" t="n">
        <v>1680</v>
      </c>
      <c r="N53" s="31" t="inlineStr">
        <is>
          <t>live listings ~60k mi, $14,000-$19,000</t>
        </is>
      </c>
      <c r="O53" s="38" t="inlineStr">
        <is>
          <t>◑ VW MQB community port, select yrs</t>
        </is>
      </c>
      <c r="P53" s="33" t="n">
        <v>0.516</v>
      </c>
      <c r="Q53" s="42" t="n">
        <v>5</v>
      </c>
      <c r="R53" s="29" t="n">
        <v>0.482</v>
      </c>
      <c r="S53" s="29" t="n">
        <v>0.59</v>
      </c>
      <c r="T53" s="35" t="n">
        <v>0.628</v>
      </c>
      <c r="U53" s="29" t="n">
        <v>0.123</v>
      </c>
      <c r="V53" s="30" t="n">
        <v>15332</v>
      </c>
      <c r="W53" s="36">
        <f>IFERROR(G53*INDEX('Charts data (helper)'!$BI$119:$DZ$128,MATCH($Q$3,'Charts data (helper)'!$BH$119:$BH$128,0),MATCH($B53,'Charts data (helper)'!$BI$118:$DZ$118,0))/INDEX('Charts data (helper)'!$BI$119:$DZ$128,MATCH(0.07,'Charts data (helper)'!$BH$119:$BH$128,0),MATCH($B53,'Charts data (helper)'!$BI$118:$DZ$118,0)),G53)</f>
        <v/>
      </c>
      <c r="X53" s="16">
        <f>RANK(W53,$W$6:$W$76,1)</f>
        <v/>
      </c>
    </row>
    <row r="54">
      <c r="A54" s="16" t="n">
        <v>49</v>
      </c>
      <c r="B54" s="27" t="inlineStr">
        <is>
          <t>Chrysler Pacifica PHEV</t>
        </is>
      </c>
      <c r="C54" s="16" t="inlineStr">
        <is>
          <t>Van</t>
        </is>
      </c>
      <c r="D54" s="16" t="inlineStr">
        <is>
          <t>plug-in</t>
        </is>
      </c>
      <c r="E54" s="8" t="inlineStr">
        <is>
          <t>65k mi → ~2021</t>
        </is>
      </c>
      <c r="F54" s="28" t="n">
        <v>22000</v>
      </c>
      <c r="G54" s="14">
        <f>0.4146+(F54-22000)/110500+0.01394*$D$3+0.15233*$F$3</f>
        <v/>
      </c>
      <c r="H54" s="29">
        <f>0.4405+(F54-22000)/110500+0.01394*$D$3+0.15233*$F$3</f>
        <v/>
      </c>
      <c r="I54" s="29">
        <f>0.4727+(F54-22000)/110500+0.01394*$D$3+0.15233*$F$3</f>
        <v/>
      </c>
      <c r="J54" s="29">
        <f>0.4562+(F54-22000)/70000+0.01394*$D$3+0.15233*$F$3</f>
        <v/>
      </c>
      <c r="K54" s="29">
        <f>0.01394*$D$3+0.15233*$F$3</f>
        <v/>
      </c>
      <c r="L54" s="29">
        <f>G54-K54</f>
        <v/>
      </c>
      <c r="M54" s="30" t="n">
        <v>1760</v>
      </c>
      <c r="N54" s="31" t="inlineStr">
        <is>
          <t>live listings ~65k mi, $18,500-$25,000</t>
        </is>
      </c>
      <c r="O54" s="37" t="inlineStr">
        <is>
          <t>✗ not on list</t>
        </is>
      </c>
      <c r="P54" s="33" t="n">
        <v>0.549</v>
      </c>
      <c r="Q54" s="43" t="n">
        <v>6</v>
      </c>
      <c r="R54" s="29" t="n">
        <v>0.494</v>
      </c>
      <c r="S54" s="29" t="n">
        <v>0.619</v>
      </c>
      <c r="T54" s="35" t="n">
        <v>0.539</v>
      </c>
      <c r="U54" s="29" t="n">
        <v>0.155</v>
      </c>
      <c r="V54" s="30" t="n">
        <v>17101</v>
      </c>
      <c r="W54" s="36">
        <f>IFERROR(G54*INDEX('Charts data (helper)'!$BI$119:$DZ$128,MATCH($Q$3,'Charts data (helper)'!$BH$119:$BH$128,0),MATCH($B54,'Charts data (helper)'!$BI$118:$DZ$118,0))/INDEX('Charts data (helper)'!$BI$119:$DZ$128,MATCH(0.07,'Charts data (helper)'!$BH$119:$BH$128,0),MATCH($B54,'Charts data (helper)'!$BI$118:$DZ$118,0)),G54)</f>
        <v/>
      </c>
      <c r="X54" s="16">
        <f>RANK(W54,$W$6:$W$76,1)</f>
        <v/>
      </c>
    </row>
    <row r="55">
      <c r="A55" s="16" t="n">
        <v>50</v>
      </c>
      <c r="B55" s="8" t="inlineStr">
        <is>
          <t>Subaru Ascent</t>
        </is>
      </c>
      <c r="C55" s="16" t="inlineStr">
        <is>
          <t>SUV AWD</t>
        </is>
      </c>
      <c r="D55" s="16" t="inlineStr">
        <is>
          <t>gas</t>
        </is>
      </c>
      <c r="E55" s="8" t="inlineStr">
        <is>
          <t>55k mi → ~2022</t>
        </is>
      </c>
      <c r="F55" s="28" t="n">
        <v>23400</v>
      </c>
      <c r="G55" s="14">
        <f>0.3635+(F55-23400)/129600+0.03305*$D$3+0.0*$F$3</f>
        <v/>
      </c>
      <c r="H55" s="29">
        <f>0.3825+(F55-23400)/129600+0.03305*$D$3+0.0*$F$3</f>
        <v/>
      </c>
      <c r="I55" s="29">
        <f>0.4015+(F55-23400)/129600+0.03305*$D$3+0.0*$F$3</f>
        <v/>
      </c>
      <c r="J55" s="29">
        <f>0.4041+(F55-23400)/87000+0.03305*$D$3+0.0*$F$3</f>
        <v/>
      </c>
      <c r="K55" s="29">
        <f>0.03305*$D$3+0.0*$F$3</f>
        <v/>
      </c>
      <c r="L55" s="29">
        <f>G55-K55</f>
        <v/>
      </c>
      <c r="M55" s="30" t="n">
        <v>1680</v>
      </c>
      <c r="N55" s="31" t="inlineStr">
        <is>
          <t>live listings ~55k mi, $19,500-$26,500</t>
        </is>
      </c>
      <c r="O55" s="37" t="inlineStr">
        <is>
          <t>✗ not on list</t>
        </is>
      </c>
      <c r="P55" s="33" t="n">
        <v>0.555</v>
      </c>
      <c r="Q55" s="43" t="n">
        <v>6</v>
      </c>
      <c r="R55" s="29" t="n">
        <v>0.506</v>
      </c>
      <c r="S55" s="29" t="n">
        <v>0.594</v>
      </c>
      <c r="T55" s="35" t="n">
        <v>0.545</v>
      </c>
      <c r="U55" s="29" t="n">
        <v>0.174</v>
      </c>
      <c r="V55" s="30" t="n">
        <v>22536</v>
      </c>
      <c r="W55" s="36">
        <f>IFERROR(G55*INDEX('Charts data (helper)'!$BI$119:$DZ$128,MATCH($Q$3,'Charts data (helper)'!$BH$119:$BH$128,0),MATCH($B55,'Charts data (helper)'!$BI$118:$DZ$118,0))/INDEX('Charts data (helper)'!$BI$119:$DZ$128,MATCH(0.07,'Charts data (helper)'!$BH$119:$BH$128,0),MATCH($B55,'Charts data (helper)'!$BI$118:$DZ$118,0)),G55)</f>
        <v/>
      </c>
      <c r="X55" s="16">
        <f>RANK(W55,$W$6:$W$76,1)</f>
        <v/>
      </c>
    </row>
    <row r="56">
      <c r="A56" s="16" t="n">
        <v>51</v>
      </c>
      <c r="B56" s="37" t="inlineStr">
        <is>
          <t>Ford Ranger (2019+ midsize)</t>
        </is>
      </c>
      <c r="C56" s="16" t="inlineStr">
        <is>
          <t>Truck</t>
        </is>
      </c>
      <c r="D56" s="16" t="inlineStr">
        <is>
          <t>gas</t>
        </is>
      </c>
      <c r="E56" s="8" t="inlineStr">
        <is>
          <t>55k mi → ~2022</t>
        </is>
      </c>
      <c r="F56" s="28" t="n">
        <v>23000</v>
      </c>
      <c r="G56" s="14">
        <f>0.3666+(F56-23000)/145200+0.03341*$D$3+0.0*$F$3</f>
        <v/>
      </c>
      <c r="H56" s="29">
        <f>0.3835+(F56-23000)/145200+0.03341*$D$3+0.0*$F$3</f>
        <v/>
      </c>
      <c r="I56" s="29">
        <f>0.4026+(F56-23000)/145200+0.03341*$D$3+0.0*$F$3</f>
        <v/>
      </c>
      <c r="J56" s="29">
        <f>0.4021+(F56-23000)/99000+0.03341*$D$3+0.0*$F$3</f>
        <v/>
      </c>
      <c r="K56" s="29">
        <f>0.03341*$D$3+0.0*$F$3</f>
        <v/>
      </c>
      <c r="L56" s="29">
        <f>G56-K56</f>
        <v/>
      </c>
      <c r="M56" s="30" t="n">
        <v>1832</v>
      </c>
      <c r="N56" s="31" t="inlineStr">
        <is>
          <t>live listings ~55k mi, $19,500-$26,000</t>
        </is>
      </c>
      <c r="O56" s="38" t="inlineStr">
        <is>
          <t>◑ supported 2024 only; our buy 2022 = not</t>
        </is>
      </c>
      <c r="P56" s="33" t="n">
        <v>0.5610000000000001</v>
      </c>
      <c r="Q56" s="43" t="n">
        <v>6</v>
      </c>
      <c r="R56" s="29" t="n">
        <v>0.513</v>
      </c>
      <c r="S56" s="29" t="n">
        <v>0.597</v>
      </c>
      <c r="T56" s="35" t="n">
        <v>0.512</v>
      </c>
      <c r="U56" s="29" t="n">
        <v>0.179</v>
      </c>
      <c r="V56" s="30" t="n">
        <v>25969</v>
      </c>
      <c r="W56" s="36">
        <f>IFERROR(G56*INDEX('Charts data (helper)'!$BI$119:$DZ$128,MATCH($Q$3,'Charts data (helper)'!$BH$119:$BH$128,0),MATCH($B56,'Charts data (helper)'!$BI$118:$DZ$118,0))/INDEX('Charts data (helper)'!$BI$119:$DZ$128,MATCH(0.07,'Charts data (helper)'!$BH$119:$BH$128,0),MATCH($B56,'Charts data (helper)'!$BI$118:$DZ$118,0)),G56)</f>
        <v/>
      </c>
      <c r="X56" s="16">
        <f>RANK(W56,$W$6:$W$76,1)</f>
        <v/>
      </c>
    </row>
    <row r="57">
      <c r="A57" s="16" t="n">
        <v>52</v>
      </c>
      <c r="B57" s="8" t="inlineStr">
        <is>
          <t>Honda Pilot</t>
        </is>
      </c>
      <c r="C57" s="16" t="inlineStr">
        <is>
          <t>SUV AWD</t>
        </is>
      </c>
      <c r="D57" s="16" t="inlineStr">
        <is>
          <t>gas</t>
        </is>
      </c>
      <c r="E57" s="8" t="inlineStr">
        <is>
          <t>85k mi → ~2019</t>
        </is>
      </c>
      <c r="F57" s="28" t="n">
        <v>22500</v>
      </c>
      <c r="G57" s="14">
        <f>0.3558+(F57-22500)/139900+0.03551*$D$3+0.0*$F$3</f>
        <v/>
      </c>
      <c r="H57" s="29">
        <f>0.376+(F57-22500)/139900+0.03551*$D$3+0.0*$F$3</f>
        <v/>
      </c>
      <c r="I57" s="29">
        <f>0.3974+(F57-22500)/139900+0.03551*$D$3+0.0*$F$3</f>
        <v/>
      </c>
      <c r="J57" s="29">
        <f>0.4124+(F57-22500)/88000+0.03551*$D$3+0.0*$F$3</f>
        <v/>
      </c>
      <c r="K57" s="29">
        <f>0.03551*$D$3+0.0*$F$3</f>
        <v/>
      </c>
      <c r="L57" s="29">
        <f>G57-K57</f>
        <v/>
      </c>
      <c r="M57" s="30" t="n">
        <v>1680</v>
      </c>
      <c r="N57" s="31" t="inlineStr">
        <is>
          <t>live listings ~85k mi, $19,000-$25,500</t>
        </is>
      </c>
      <c r="O57" s="38" t="inlineStr">
        <is>
          <t>◑ Honda Sensing years</t>
        </is>
      </c>
      <c r="P57" s="33" t="n">
        <v>0.548</v>
      </c>
      <c r="Q57" s="43" t="n">
        <v>6</v>
      </c>
      <c r="R57" s="29" t="n">
        <v>0.507</v>
      </c>
      <c r="S57" s="29" t="n">
        <v>0.605</v>
      </c>
      <c r="T57" s="35" t="n">
        <v>0.522</v>
      </c>
      <c r="U57" s="29" t="n">
        <v>0.172</v>
      </c>
      <c r="V57" s="30" t="n">
        <v>24101</v>
      </c>
      <c r="W57" s="36">
        <f>IFERROR(G57*INDEX('Charts data (helper)'!$BI$119:$DZ$128,MATCH($Q$3,'Charts data (helper)'!$BH$119:$BH$128,0),MATCH($B57,'Charts data (helper)'!$BI$118:$DZ$118,0))/INDEX('Charts data (helper)'!$BI$119:$DZ$128,MATCH(0.07,'Charts data (helper)'!$BH$119:$BH$128,0),MATCH($B57,'Charts data (helper)'!$BI$118:$DZ$118,0)),G57)</f>
        <v/>
      </c>
      <c r="X57" s="16">
        <f>RANK(W57,$W$6:$W$76,1)</f>
        <v/>
      </c>
    </row>
    <row r="58">
      <c r="A58" s="16" t="n">
        <v>53</v>
      </c>
      <c r="B58" s="8" t="inlineStr">
        <is>
          <t>Mini Countryman</t>
        </is>
      </c>
      <c r="C58" s="16" t="inlineStr">
        <is>
          <t>SUV AWD</t>
        </is>
      </c>
      <c r="D58" s="16" t="inlineStr">
        <is>
          <t>gas</t>
        </is>
      </c>
      <c r="E58" s="8" t="inlineStr">
        <is>
          <t>55k mi → ~2022</t>
        </is>
      </c>
      <c r="F58" s="28" t="n">
        <v>19000</v>
      </c>
      <c r="G58" s="14">
        <f>0.3948+(F58-19000)/120500+0.02857*$D$3+0.0*$F$3</f>
        <v/>
      </c>
      <c r="H58" s="29">
        <f>0.4193+(F58-19000)/120500+0.02857*$D$3+0.0*$F$3</f>
        <v/>
      </c>
      <c r="I58" s="29">
        <f>0.4504+(F58-19000)/120500+0.02857*$D$3+0.0*$F$3</f>
        <v/>
      </c>
      <c r="J58" s="29">
        <f>0.4305+(F58-19000)/80000+0.02857*$D$3+0.0*$F$3</f>
        <v/>
      </c>
      <c r="K58" s="29">
        <f>0.02857*$D$3+0.0*$F$3</f>
        <v/>
      </c>
      <c r="L58" s="29">
        <f>G58-K58</f>
        <v/>
      </c>
      <c r="M58" s="30" t="n">
        <v>1760</v>
      </c>
      <c r="N58" s="31" t="inlineStr">
        <is>
          <t>live listings ~55k mi, $16,000-$21,500</t>
        </is>
      </c>
      <c r="O58" s="37" t="inlineStr">
        <is>
          <t>✗ not on comma list</t>
        </is>
      </c>
      <c r="P58" s="33" t="n">
        <v>0.553</v>
      </c>
      <c r="Q58" s="43" t="n">
        <v>6</v>
      </c>
      <c r="R58" s="29" t="n">
        <v>0.509</v>
      </c>
      <c r="S58" s="29" t="n">
        <v>0.628</v>
      </c>
      <c r="T58" s="35" t="n">
        <v>0.528</v>
      </c>
      <c r="U58" s="29" t="n">
        <v>0.138</v>
      </c>
      <c r="V58" s="30" t="n">
        <v>16573</v>
      </c>
      <c r="W58" s="36">
        <f>IFERROR(G58*INDEX('Charts data (helper)'!$BI$119:$DZ$128,MATCH($Q$3,'Charts data (helper)'!$BH$119:$BH$128,0),MATCH($B58,'Charts data (helper)'!$BI$118:$DZ$118,0))/INDEX('Charts data (helper)'!$BI$119:$DZ$128,MATCH(0.07,'Charts data (helper)'!$BH$119:$BH$128,0),MATCH($B58,'Charts data (helper)'!$BI$118:$DZ$118,0)),G58)</f>
        <v/>
      </c>
      <c r="X58" s="16">
        <f>RANK(W58,$W$6:$W$76,1)</f>
        <v/>
      </c>
    </row>
    <row r="59">
      <c r="A59" s="16" t="n">
        <v>54</v>
      </c>
      <c r="B59" s="8" t="inlineStr">
        <is>
          <t>Toyota Sequoia</t>
        </is>
      </c>
      <c r="C59" s="16" t="inlineStr">
        <is>
          <t>SUV AWD</t>
        </is>
      </c>
      <c r="D59" s="16" t="inlineStr">
        <is>
          <t>gas</t>
        </is>
      </c>
      <c r="E59" s="8" t="inlineStr">
        <is>
          <t>80k mi → ~2020</t>
        </is>
      </c>
      <c r="F59" s="28" t="n">
        <v>32250</v>
      </c>
      <c r="G59" s="14">
        <f>0.3402+(F59-32250)/220300+0.03966*$D$3+0.0*$F$3</f>
        <v/>
      </c>
      <c r="H59" s="29">
        <f>0.3623+(F59-32250)/220300+0.03966*$D$3+0.0*$F$3</f>
        <v/>
      </c>
      <c r="I59" s="29">
        <f>0.3815+(F59-32250)/220300+0.03966*$D$3+0.0*$F$3</f>
        <v/>
      </c>
      <c r="J59" s="29">
        <f>0.4035+(F59-32250)/151000+0.03966*$D$3+0.0*$F$3</f>
        <v/>
      </c>
      <c r="K59" s="29">
        <f>0.03966*$D$3+0.0*$F$3</f>
        <v/>
      </c>
      <c r="L59" s="29">
        <f>G59-K59</f>
        <v/>
      </c>
      <c r="M59" s="30" t="n">
        <v>1960</v>
      </c>
      <c r="N59" s="31" t="inlineStr">
        <is>
          <t>live listings ~80k mi, $27,000-$37,000</t>
        </is>
      </c>
      <c r="O59" s="37" t="inlineStr">
        <is>
          <t>✗ not on list</t>
        </is>
      </c>
      <c r="P59" s="33" t="n">
        <v>0.545</v>
      </c>
      <c r="Q59" s="43" t="n">
        <v>6</v>
      </c>
      <c r="R59" s="29" t="n">
        <v>0.508</v>
      </c>
      <c r="S59" s="29" t="n">
        <v>0.613</v>
      </c>
      <c r="T59" s="35" t="n">
        <v>0.579</v>
      </c>
      <c r="U59" s="29" t="n">
        <v>0.314</v>
      </c>
      <c r="V59" s="30" t="n">
        <v>69251</v>
      </c>
      <c r="W59" s="36">
        <f>IFERROR(G59*INDEX('Charts data (helper)'!$BI$119:$DZ$128,MATCH($Q$3,'Charts data (helper)'!$BH$119:$BH$128,0),MATCH($B59,'Charts data (helper)'!$BI$118:$DZ$118,0))/INDEX('Charts data (helper)'!$BI$119:$DZ$128,MATCH(0.07,'Charts data (helper)'!$BH$119:$BH$128,0),MATCH($B59,'Charts data (helper)'!$BI$118:$DZ$118,0)),G59)</f>
        <v/>
      </c>
      <c r="X59" s="16">
        <f>RANK(W59,$W$6:$W$76,1)</f>
        <v/>
      </c>
    </row>
    <row r="60">
      <c r="A60" s="16" t="n">
        <v>55</v>
      </c>
      <c r="B60" s="8" t="inlineStr">
        <is>
          <t>Hyundai Palisade</t>
        </is>
      </c>
      <c r="C60" s="16" t="inlineStr">
        <is>
          <t>SUV AWD</t>
        </is>
      </c>
      <c r="D60" s="16" t="inlineStr">
        <is>
          <t>gas</t>
        </is>
      </c>
      <c r="E60" s="8" t="inlineStr">
        <is>
          <t>45k mi → ~2023</t>
        </is>
      </c>
      <c r="F60" s="28" t="n">
        <v>31000</v>
      </c>
      <c r="G60" s="14">
        <f>0.3862+(F60-31000)/155200+0.03266*$D$3+0.0*$F$3</f>
        <v/>
      </c>
      <c r="H60" s="29">
        <f>0.4052+(F60-31000)/155200+0.03266*$D$3+0.0*$F$3</f>
        <v/>
      </c>
      <c r="I60" s="29">
        <f>0.4248+(F60-31000)/155200+0.03266*$D$3+0.0*$F$3</f>
        <v/>
      </c>
      <c r="J60" s="29">
        <f>0.433+(F60-31000)/109000+0.03266*$D$3+0.0*$F$3</f>
        <v/>
      </c>
      <c r="K60" s="29">
        <f>0.03266*$D$3+0.0*$F$3</f>
        <v/>
      </c>
      <c r="L60" s="29">
        <f>G60-K60</f>
        <v/>
      </c>
      <c r="M60" s="30" t="n">
        <v>1720</v>
      </c>
      <c r="N60" s="31" t="inlineStr">
        <is>
          <t>live listings ~45k mi, $26,000-$35,500</t>
        </is>
      </c>
      <c r="O60" s="37" t="inlineStr">
        <is>
          <t>✗ not on list</t>
        </is>
      </c>
      <c r="P60" s="33" t="n">
        <v>0.5659999999999999</v>
      </c>
      <c r="Q60" s="43" t="n">
        <v>6</v>
      </c>
      <c r="R60" s="29" t="n">
        <v>0.523</v>
      </c>
      <c r="S60" s="29" t="n">
        <v>0.617</v>
      </c>
      <c r="T60" s="35" t="n">
        <v>0.536</v>
      </c>
      <c r="U60" s="29" t="n">
        <v>0.248</v>
      </c>
      <c r="V60" s="30" t="n">
        <v>38528</v>
      </c>
      <c r="W60" s="36">
        <f>IFERROR(G60*INDEX('Charts data (helper)'!$BI$119:$DZ$128,MATCH($Q$3,'Charts data (helper)'!$BH$119:$BH$128,0),MATCH($B60,'Charts data (helper)'!$BI$118:$DZ$118,0))/INDEX('Charts data (helper)'!$BI$119:$DZ$128,MATCH(0.07,'Charts data (helper)'!$BH$119:$BH$128,0),MATCH($B60,'Charts data (helper)'!$BI$118:$DZ$118,0)),G60)</f>
        <v/>
      </c>
      <c r="X60" s="16">
        <f>RANK(W60,$W$6:$W$76,1)</f>
        <v/>
      </c>
    </row>
    <row r="61">
      <c r="A61" s="16" t="n">
        <v>56</v>
      </c>
      <c r="B61" s="8" t="inlineStr">
        <is>
          <t>Chrysler Pacifica</t>
        </is>
      </c>
      <c r="C61" s="16" t="inlineStr">
        <is>
          <t>Van</t>
        </is>
      </c>
      <c r="D61" s="16" t="inlineStr">
        <is>
          <t>gas</t>
        </is>
      </c>
      <c r="E61" s="8" t="inlineStr">
        <is>
          <t>75k mi → ~2020</t>
        </is>
      </c>
      <c r="F61" s="28" t="n">
        <v>16333</v>
      </c>
      <c r="G61" s="14">
        <f>0.3725+(F61-16333)/100500+0.03539*$D$3+0.0*$F$3</f>
        <v/>
      </c>
      <c r="H61" s="29">
        <f>0.3996+(F61-16333)/100500+0.03539*$D$3+0.0*$F$3</f>
        <v/>
      </c>
      <c r="I61" s="29">
        <f>0.4324+(F61-16333)/100500+0.03539*$D$3+0.0*$F$3</f>
        <v/>
      </c>
      <c r="J61" s="29">
        <f>0.406+(F61-16333)/60000+0.03539*$D$3+0.0*$F$3</f>
        <v/>
      </c>
      <c r="K61" s="29">
        <f>0.03539*$D$3+0.0*$F$3</f>
        <v/>
      </c>
      <c r="L61" s="29">
        <f>G61-K61</f>
        <v/>
      </c>
      <c r="M61" s="30" t="n">
        <v>1680</v>
      </c>
      <c r="N61" s="31" t="inlineStr">
        <is>
          <t>live listings ~75k mi, $13,500-$18,500</t>
        </is>
      </c>
      <c r="O61" s="37" t="inlineStr">
        <is>
          <t>✗ not on list</t>
        </is>
      </c>
      <c r="P61" s="33" t="n">
        <v>0.581</v>
      </c>
      <c r="Q61" s="43" t="n">
        <v>6</v>
      </c>
      <c r="R61" s="29" t="n">
        <v>0.527</v>
      </c>
      <c r="S61" s="29" t="n">
        <v>0.652</v>
      </c>
      <c r="T61" s="35" t="n">
        <v>0.531</v>
      </c>
      <c r="U61" s="29" t="n">
        <v>0.112</v>
      </c>
      <c r="V61" s="30" t="n">
        <v>11224</v>
      </c>
      <c r="W61" s="36">
        <f>IFERROR(G61*INDEX('Charts data (helper)'!$BI$119:$DZ$128,MATCH($Q$3,'Charts data (helper)'!$BH$119:$BH$128,0),MATCH($B61,'Charts data (helper)'!$BI$118:$DZ$118,0))/INDEX('Charts data (helper)'!$BI$119:$DZ$128,MATCH(0.07,'Charts data (helper)'!$BH$119:$BH$128,0),MATCH($B61,'Charts data (helper)'!$BI$118:$DZ$118,0)),G61)</f>
        <v/>
      </c>
      <c r="X61" s="16">
        <f>RANK(W61,$W$6:$W$76,1)</f>
        <v/>
      </c>
    </row>
    <row r="62">
      <c r="A62" s="16" t="n">
        <v>57</v>
      </c>
      <c r="B62" s="37" t="inlineStr">
        <is>
          <t>Chevy Colorado</t>
        </is>
      </c>
      <c r="C62" s="16" t="inlineStr">
        <is>
          <t>Truck</t>
        </is>
      </c>
      <c r="D62" s="16" t="inlineStr">
        <is>
          <t>gas</t>
        </is>
      </c>
      <c r="E62" s="8" t="inlineStr">
        <is>
          <t>60k mi → ~2021</t>
        </is>
      </c>
      <c r="F62" s="28" t="n">
        <v>23500</v>
      </c>
      <c r="G62" s="14">
        <f>0.3682+(F62-23500)/145400+0.03691*$D$3+0.0*$F$3</f>
        <v/>
      </c>
      <c r="H62" s="29">
        <f>0.3876+(F62-23500)/145400+0.03691*$D$3+0.0*$F$3</f>
        <v/>
      </c>
      <c r="I62" s="29">
        <f>0.4084+(F62-23500)/145400+0.03691*$D$3+0.0*$F$3</f>
        <v/>
      </c>
      <c r="J62" s="29">
        <f>0.4139+(F62-23500)/98000+0.03691*$D$3+0.0*$F$3</f>
        <v/>
      </c>
      <c r="K62" s="29">
        <f>0.03691*$D$3+0.0*$F$3</f>
        <v/>
      </c>
      <c r="L62" s="29">
        <f>G62-K62</f>
        <v/>
      </c>
      <c r="M62" s="30" t="n">
        <v>1720</v>
      </c>
      <c r="N62" s="31" t="inlineStr">
        <is>
          <t>live listings ~60k mi, $19,500-$27,000</t>
        </is>
      </c>
      <c r="O62" s="37" t="inlineStr">
        <is>
          <t>✗ not supported</t>
        </is>
      </c>
      <c r="P62" s="33" t="n">
        <v>0.58</v>
      </c>
      <c r="Q62" s="43" t="n">
        <v>6</v>
      </c>
      <c r="R62" s="29" t="n">
        <v>0.535</v>
      </c>
      <c r="S62" s="29" t="n">
        <v>0.627</v>
      </c>
      <c r="T62" s="35" t="n">
        <v>0.519</v>
      </c>
      <c r="U62" s="29" t="n">
        <v>0.183</v>
      </c>
      <c r="V62" s="30" t="n">
        <v>26586</v>
      </c>
      <c r="W62" s="36">
        <f>IFERROR(G62*INDEX('Charts data (helper)'!$BI$119:$DZ$128,MATCH($Q$3,'Charts data (helper)'!$BH$119:$BH$128,0),MATCH($B62,'Charts data (helper)'!$BI$118:$DZ$118,0))/INDEX('Charts data (helper)'!$BI$119:$DZ$128,MATCH(0.07,'Charts data (helper)'!$BH$119:$BH$128,0),MATCH($B62,'Charts data (helper)'!$BI$118:$DZ$118,0)),G62)</f>
        <v/>
      </c>
      <c r="X62" s="16">
        <f>RANK(W62,$W$6:$W$76,1)</f>
        <v/>
      </c>
    </row>
    <row r="63">
      <c r="A63" s="16" t="n">
        <v>58</v>
      </c>
      <c r="B63" s="8" t="inlineStr">
        <is>
          <t>Kia Telluride</t>
        </is>
      </c>
      <c r="C63" s="16" t="inlineStr">
        <is>
          <t>SUV AWD</t>
        </is>
      </c>
      <c r="D63" s="16" t="inlineStr">
        <is>
          <t>gas</t>
        </is>
      </c>
      <c r="E63" s="8" t="inlineStr">
        <is>
          <t>45k mi → ~2023</t>
        </is>
      </c>
      <c r="F63" s="28" t="n">
        <v>33000</v>
      </c>
      <c r="G63" s="14">
        <f>0.3956+(F63-33000)/155200+0.03266*$D$3+0.0*$F$3</f>
        <v/>
      </c>
      <c r="H63" s="29">
        <f>0.4132+(F63-33000)/155200+0.03266*$D$3+0.0*$F$3</f>
        <v/>
      </c>
      <c r="I63" s="29">
        <f>0.4318+(F63-33000)/155200+0.03266*$D$3+0.0*$F$3</f>
        <v/>
      </c>
      <c r="J63" s="29">
        <f>0.4424+(F63-33000)/109000+0.03266*$D$3+0.0*$F$3</f>
        <v/>
      </c>
      <c r="K63" s="29">
        <f>0.03266*$D$3+0.0*$F$3</f>
        <v/>
      </c>
      <c r="L63" s="29">
        <f>G63-K63</f>
        <v/>
      </c>
      <c r="M63" s="30" t="n">
        <v>1720</v>
      </c>
      <c r="N63" s="31" t="inlineStr">
        <is>
          <t>live listings ~45k mi, $28,000-$37,500</t>
        </is>
      </c>
      <c r="O63" s="37" t="inlineStr">
        <is>
          <t>✗ not on list</t>
        </is>
      </c>
      <c r="P63" s="33" t="n">
        <v>0.579</v>
      </c>
      <c r="Q63" s="43" t="n">
        <v>6</v>
      </c>
      <c r="R63" s="29" t="n">
        <v>0.53</v>
      </c>
      <c r="S63" s="29" t="n">
        <v>0.624</v>
      </c>
      <c r="T63" s="35" t="n">
        <v>0.575</v>
      </c>
      <c r="U63" s="29" t="n">
        <v>0.264</v>
      </c>
      <c r="V63" s="30" t="n">
        <v>41014</v>
      </c>
      <c r="W63" s="36">
        <f>IFERROR(G63*INDEX('Charts data (helper)'!$BI$119:$DZ$128,MATCH($Q$3,'Charts data (helper)'!$BH$119:$BH$128,0),MATCH($B63,'Charts data (helper)'!$BI$118:$DZ$118,0))/INDEX('Charts data (helper)'!$BI$119:$DZ$128,MATCH(0.07,'Charts data (helper)'!$BH$119:$BH$128,0),MATCH($B63,'Charts data (helper)'!$BI$118:$DZ$118,0)),G63)</f>
        <v/>
      </c>
      <c r="X63" s="16">
        <f>RANK(W63,$W$6:$W$76,1)</f>
        <v/>
      </c>
    </row>
    <row r="64">
      <c r="A64" s="16" t="n">
        <v>59</v>
      </c>
      <c r="B64" s="8" t="inlineStr">
        <is>
          <t>Mazda CX-90</t>
        </is>
      </c>
      <c r="C64" s="16" t="inlineStr">
        <is>
          <t>SUV AWD</t>
        </is>
      </c>
      <c r="D64" s="16" t="inlineStr">
        <is>
          <t>gas</t>
        </is>
      </c>
      <c r="E64" s="8" t="inlineStr">
        <is>
          <t>30k mi → ~2024</t>
        </is>
      </c>
      <c r="F64" s="28" t="n">
        <v>38750</v>
      </c>
      <c r="G64" s="14">
        <f>0.4315+(F64-38750)/170200+0.02764*$D$3+0.0*$F$3</f>
        <v/>
      </c>
      <c r="H64" s="29">
        <f>0.4501+(F64-38750)/170200+0.02764*$D$3+0.0*$F$3</f>
        <v/>
      </c>
      <c r="I64" s="29">
        <f>0.4679+(F64-38750)/170200+0.02764*$D$3+0.0*$F$3</f>
        <v/>
      </c>
      <c r="J64" s="29">
        <f>0.4786+(F64-38750)/124000+0.02764*$D$3+0.0*$F$3</f>
        <v/>
      </c>
      <c r="K64" s="29">
        <f>0.02764*$D$3+0.0*$F$3</f>
        <v/>
      </c>
      <c r="L64" s="29">
        <f>G64-K64</f>
        <v/>
      </c>
      <c r="M64" s="30" t="n">
        <v>1720</v>
      </c>
      <c r="N64" s="31" t="inlineStr">
        <is>
          <t>live listings ~30k mi, $32,500-$44,500</t>
        </is>
      </c>
      <c r="O64" s="37" t="inlineStr">
        <is>
          <t>✗ not on list</t>
        </is>
      </c>
      <c r="P64" s="33" t="n">
        <v>0.569</v>
      </c>
      <c r="Q64" s="43" t="n">
        <v>6</v>
      </c>
      <c r="R64" s="29" t="n">
        <v>0.535</v>
      </c>
      <c r="S64" s="29" t="n">
        <v>0.632</v>
      </c>
      <c r="T64" s="35" t="n">
        <v>0.533</v>
      </c>
      <c r="U64" s="29" t="n">
        <v>0.324</v>
      </c>
      <c r="V64" s="30" t="n">
        <v>55217</v>
      </c>
      <c r="W64" s="36">
        <f>IFERROR(G64*INDEX('Charts data (helper)'!$BI$119:$DZ$128,MATCH($Q$3,'Charts data (helper)'!$BH$119:$BH$128,0),MATCH($B64,'Charts data (helper)'!$BI$118:$DZ$118,0))/INDEX('Charts data (helper)'!$BI$119:$DZ$128,MATCH(0.07,'Charts data (helper)'!$BH$119:$BH$128,0),MATCH($B64,'Charts data (helper)'!$BI$118:$DZ$118,0)),G64)</f>
        <v/>
      </c>
      <c r="X64" s="16">
        <f>RANK(W64,$W$6:$W$76,1)</f>
        <v/>
      </c>
    </row>
    <row r="65">
      <c r="A65" s="16" t="n">
        <v>60</v>
      </c>
      <c r="B65" s="8" t="inlineStr">
        <is>
          <t>Chevy Traverse</t>
        </is>
      </c>
      <c r="C65" s="16" t="inlineStr">
        <is>
          <t>SUV AWD</t>
        </is>
      </c>
      <c r="D65" s="16" t="inlineStr">
        <is>
          <t>gas</t>
        </is>
      </c>
      <c r="E65" s="8" t="inlineStr">
        <is>
          <t>70k mi → ~2021</t>
        </is>
      </c>
      <c r="F65" s="28" t="n">
        <v>20000</v>
      </c>
      <c r="G65" s="14">
        <f>0.3875+(F65-20000)/114600+0.03586*$D$3+0.0*$F$3</f>
        <v/>
      </c>
      <c r="H65" s="29">
        <f>0.4127+(F65-20000)/114600+0.03586*$D$3+0.0*$F$3</f>
        <v/>
      </c>
      <c r="I65" s="29">
        <f>0.4424+(F65-20000)/114600+0.03586*$D$3+0.0*$F$3</f>
        <v/>
      </c>
      <c r="J65" s="29">
        <f>0.4272+(F65-20000)/72000+0.03586*$D$3+0.0*$F$3</f>
        <v/>
      </c>
      <c r="K65" s="29">
        <f>0.03586*$D$3+0.0*$F$3</f>
        <v/>
      </c>
      <c r="L65" s="29">
        <f>G65-K65</f>
        <v/>
      </c>
      <c r="M65" s="30" t="n">
        <v>1680</v>
      </c>
      <c r="N65" s="31" t="inlineStr">
        <is>
          <t>live listings ~70k mi, $17,000-$23,000</t>
        </is>
      </c>
      <c r="O65" s="37" t="inlineStr">
        <is>
          <t>✗ not on list</t>
        </is>
      </c>
      <c r="P65" s="33" t="n">
        <v>0.595</v>
      </c>
      <c r="Q65" s="43" t="n">
        <v>6</v>
      </c>
      <c r="R65" s="29" t="n">
        <v>0.538</v>
      </c>
      <c r="S65" s="29" t="n">
        <v>0.659</v>
      </c>
      <c r="T65" s="35" t="n">
        <v>0.547</v>
      </c>
      <c r="U65" s="29" t="n">
        <v>0.142</v>
      </c>
      <c r="V65" s="30" t="n">
        <v>16313</v>
      </c>
      <c r="W65" s="36">
        <f>IFERROR(G65*INDEX('Charts data (helper)'!$BI$119:$DZ$128,MATCH($Q$3,'Charts data (helper)'!$BH$119:$BH$128,0),MATCH($B65,'Charts data (helper)'!$BI$118:$DZ$118,0))/INDEX('Charts data (helper)'!$BI$119:$DZ$128,MATCH(0.07,'Charts data (helper)'!$BH$119:$BH$128,0),MATCH($B65,'Charts data (helper)'!$BI$118:$DZ$118,0)),G65)</f>
        <v/>
      </c>
      <c r="X65" s="16">
        <f>RANK(W65,$W$6:$W$76,1)</f>
        <v/>
      </c>
    </row>
    <row r="66">
      <c r="A66" s="16" t="n">
        <v>61</v>
      </c>
      <c r="B66" s="8" t="inlineStr">
        <is>
          <t>VW Atlas</t>
        </is>
      </c>
      <c r="C66" s="16" t="inlineStr">
        <is>
          <t>SUV AWD</t>
        </is>
      </c>
      <c r="D66" s="16" t="inlineStr">
        <is>
          <t>gas</t>
        </is>
      </c>
      <c r="E66" s="8" t="inlineStr">
        <is>
          <t>65k mi → ~2021</t>
        </is>
      </c>
      <c r="F66" s="28" t="n">
        <v>21000</v>
      </c>
      <c r="G66" s="14">
        <f>0.3984+(F66-21000)/124800+0.03502*$D$3+0.0*$F$3</f>
        <v/>
      </c>
      <c r="H66" s="29">
        <f>0.4187+(F66-21000)/124800+0.03502*$D$3+0.0*$F$3</f>
        <v/>
      </c>
      <c r="I66" s="29">
        <f>0.4458+(F66-21000)/124800+0.03502*$D$3+0.0*$F$3</f>
        <v/>
      </c>
      <c r="J66" s="29">
        <f>0.4378+(F66-21000)/81000+0.03502*$D$3+0.0*$F$3</f>
        <v/>
      </c>
      <c r="K66" s="29">
        <f>0.03502*$D$3+0.0*$F$3</f>
        <v/>
      </c>
      <c r="L66" s="29">
        <f>G66-K66</f>
        <v/>
      </c>
      <c r="M66" s="30" t="n">
        <v>1760</v>
      </c>
      <c r="N66" s="31" t="inlineStr">
        <is>
          <t>live listings ~65k mi, $17,500-$24,000</t>
        </is>
      </c>
      <c r="O66" s="38" t="inlineStr">
        <is>
          <t>◑ VW MQB community port, select yrs</t>
        </is>
      </c>
      <c r="P66" s="33" t="n">
        <v>0.58</v>
      </c>
      <c r="Q66" s="43" t="n">
        <v>6</v>
      </c>
      <c r="R66" s="29" t="n">
        <v>0.543</v>
      </c>
      <c r="S66" s="29" t="n">
        <v>0.656</v>
      </c>
      <c r="T66" s="35" t="n">
        <v>0.516</v>
      </c>
      <c r="U66" s="29" t="n">
        <v>0.154</v>
      </c>
      <c r="V66" s="30" t="n">
        <v>19207</v>
      </c>
      <c r="W66" s="36">
        <f>IFERROR(G66*INDEX('Charts data (helper)'!$BI$119:$DZ$128,MATCH($Q$3,'Charts data (helper)'!$BH$119:$BH$128,0),MATCH($B66,'Charts data (helper)'!$BI$118:$DZ$118,0))/INDEX('Charts data (helper)'!$BI$119:$DZ$128,MATCH(0.07,'Charts data (helper)'!$BH$119:$BH$128,0),MATCH($B66,'Charts data (helper)'!$BI$118:$DZ$118,0)),G66)</f>
        <v/>
      </c>
      <c r="X66" s="16">
        <f>RANK(W66,$W$6:$W$76,1)</f>
        <v/>
      </c>
    </row>
    <row r="67">
      <c r="A67" s="16" t="n">
        <v>62</v>
      </c>
      <c r="B67" s="8" t="inlineStr">
        <is>
          <t>Ford Explorer</t>
        </is>
      </c>
      <c r="C67" s="16" t="inlineStr">
        <is>
          <t>SUV AWD</t>
        </is>
      </c>
      <c r="D67" s="16" t="inlineStr">
        <is>
          <t>gas</t>
        </is>
      </c>
      <c r="E67" s="8" t="inlineStr">
        <is>
          <t>70k mi → ~2021</t>
        </is>
      </c>
      <c r="F67" s="28" t="n">
        <v>21000</v>
      </c>
      <c r="G67" s="14">
        <f>0.3961+(F67-21000)/114600+0.03586*$D$3+0.0*$F$3</f>
        <v/>
      </c>
      <c r="H67" s="29">
        <f>0.4218+(F67-21000)/114600+0.03586*$D$3+0.0*$F$3</f>
        <v/>
      </c>
      <c r="I67" s="29">
        <f>0.4507+(F67-21000)/114600+0.03586*$D$3+0.0*$F$3</f>
        <v/>
      </c>
      <c r="J67" s="29">
        <f>0.4437+(F67-21000)/72000+0.03586*$D$3+0.0*$F$3</f>
        <v/>
      </c>
      <c r="K67" s="29">
        <f>0.03586*$D$3+0.0*$F$3</f>
        <v/>
      </c>
      <c r="L67" s="29">
        <f>G67-K67</f>
        <v/>
      </c>
      <c r="M67" s="30" t="n">
        <v>1720</v>
      </c>
      <c r="N67" s="31" t="inlineStr">
        <is>
          <t>live listings ~70k mi, $17,500-$24,000</t>
        </is>
      </c>
      <c r="O67" s="37" t="inlineStr">
        <is>
          <t>✗ not on list</t>
        </is>
      </c>
      <c r="P67" s="33" t="n">
        <v>0.606</v>
      </c>
      <c r="Q67" s="43" t="n">
        <v>6</v>
      </c>
      <c r="R67" s="29" t="n">
        <v>0.542</v>
      </c>
      <c r="S67" s="29" t="n">
        <v>0.667</v>
      </c>
      <c r="T67" s="35" t="n">
        <v>0.592</v>
      </c>
      <c r="U67" s="29" t="n">
        <v>0.149</v>
      </c>
      <c r="V67" s="30" t="n">
        <v>17128</v>
      </c>
      <c r="W67" s="36">
        <f>IFERROR(G67*INDEX('Charts data (helper)'!$BI$119:$DZ$128,MATCH($Q$3,'Charts data (helper)'!$BH$119:$BH$128,0),MATCH($B67,'Charts data (helper)'!$BI$118:$DZ$118,0))/INDEX('Charts data (helper)'!$BI$119:$DZ$128,MATCH(0.07,'Charts data (helper)'!$BH$119:$BH$128,0),MATCH($B67,'Charts data (helper)'!$BI$118:$DZ$118,0)),G67)</f>
        <v/>
      </c>
      <c r="X67" s="16">
        <f>RANK(W67,$W$6:$W$76,1)</f>
        <v/>
      </c>
    </row>
    <row r="68">
      <c r="A68" s="16" t="n">
        <v>63</v>
      </c>
      <c r="B68" s="8" t="inlineStr">
        <is>
          <t>Buick Enclave</t>
        </is>
      </c>
      <c r="C68" s="16" t="inlineStr">
        <is>
          <t>SUV AWD</t>
        </is>
      </c>
      <c r="D68" s="16" t="inlineStr">
        <is>
          <t>gas</t>
        </is>
      </c>
      <c r="E68" s="8" t="inlineStr">
        <is>
          <t>90k mi → ~2019</t>
        </is>
      </c>
      <c r="F68" s="28" t="n">
        <v>16667</v>
      </c>
      <c r="G68" s="14">
        <f>0.396+(F68-16667)/94600+0.0376*$D$3+0.0*$F$3</f>
        <v/>
      </c>
      <c r="H68" s="29">
        <f>0.4241+(F68-16667)/94600+0.0376*$D$3+0.0*$F$3</f>
        <v/>
      </c>
      <c r="I68" s="29">
        <f>0.4543+(F68-16667)/94600+0.0376*$D$3+0.0*$F$3</f>
        <v/>
      </c>
      <c r="J68" s="29">
        <f>0.4474+(F68-16667)/52000+0.0376*$D$3+0.0*$F$3</f>
        <v/>
      </c>
      <c r="K68" s="29">
        <f>0.0376*$D$3+0.0*$F$3</f>
        <v/>
      </c>
      <c r="L68" s="29">
        <f>G68-K68</f>
        <v/>
      </c>
      <c r="M68" s="30" t="n">
        <v>1800</v>
      </c>
      <c r="N68" s="31" t="inlineStr">
        <is>
          <t>live listings ~90k mi, $14,000-$19,000</t>
        </is>
      </c>
      <c r="O68" s="37" t="inlineStr">
        <is>
          <t>✗ not on comma list</t>
        </is>
      </c>
      <c r="P68" s="33" t="n">
        <v>0.617</v>
      </c>
      <c r="Q68" s="44" t="n">
        <v>7</v>
      </c>
      <c r="R68" s="29" t="n">
        <v>0.553</v>
      </c>
      <c r="S68" s="29" t="n">
        <v>0.6840000000000001</v>
      </c>
      <c r="T68" s="35" t="n">
        <v>0.617</v>
      </c>
      <c r="U68" s="29" t="n">
        <v>0.112</v>
      </c>
      <c r="V68" s="30" t="n">
        <v>10603</v>
      </c>
      <c r="W68" s="36">
        <f>IFERROR(G68*INDEX('Charts data (helper)'!$BI$119:$DZ$128,MATCH($Q$3,'Charts data (helper)'!$BH$119:$BH$128,0),MATCH($B68,'Charts data (helper)'!$BI$118:$DZ$118,0))/INDEX('Charts data (helper)'!$BI$119:$DZ$128,MATCH(0.07,'Charts data (helper)'!$BH$119:$BH$128,0),MATCH($B68,'Charts data (helper)'!$BI$118:$DZ$118,0)),G68)</f>
        <v/>
      </c>
      <c r="X68" s="16">
        <f>RANK(W68,$W$6:$W$76,1)</f>
        <v/>
      </c>
    </row>
    <row r="69">
      <c r="A69" s="16" t="n">
        <v>64</v>
      </c>
      <c r="B69" s="8" t="inlineStr">
        <is>
          <t>Volvo XC60</t>
        </is>
      </c>
      <c r="C69" s="16" t="inlineStr">
        <is>
          <t>SUV AWD</t>
        </is>
      </c>
      <c r="D69" s="16" t="inlineStr">
        <is>
          <t>gas</t>
        </is>
      </c>
      <c r="E69" s="8" t="inlineStr">
        <is>
          <t>65k mi → ~2021</t>
        </is>
      </c>
      <c r="F69" s="28" t="n">
        <v>25200</v>
      </c>
      <c r="G69" s="14">
        <f>0.4486+(F69-25200)/135200+0.03121*$D$3+0.0*$F$3</f>
        <v/>
      </c>
      <c r="H69" s="29">
        <f>0.472+(F69-25200)/135200+0.03121*$D$3+0.0*$F$3</f>
        <v/>
      </c>
      <c r="I69" s="29">
        <f>0.4985+(F69-25200)/135200+0.03121*$D$3+0.0*$F$3</f>
        <v/>
      </c>
      <c r="J69" s="29">
        <f>0.5016+(F69-25200)/89000+0.03121*$D$3+0.0*$F$3</f>
        <v/>
      </c>
      <c r="K69" s="29">
        <f>0.03121*$D$3+0.0*$F$3</f>
        <v/>
      </c>
      <c r="L69" s="29">
        <f>G69-K69</f>
        <v/>
      </c>
      <c r="M69" s="30" t="n">
        <v>1880</v>
      </c>
      <c r="N69" s="31" t="inlineStr">
        <is>
          <t>live listings ~65k mi, $21,000-$28,500</t>
        </is>
      </c>
      <c r="O69" s="37" t="inlineStr">
        <is>
          <t>✗ not on comma list</t>
        </is>
      </c>
      <c r="P69" s="33" t="n">
        <v>0.605</v>
      </c>
      <c r="Q69" s="44" t="n">
        <v>7</v>
      </c>
      <c r="R69" s="29" t="n">
        <v>0.5659999999999999</v>
      </c>
      <c r="S69" s="29" t="n">
        <v>0.6899999999999999</v>
      </c>
      <c r="T69" s="35" t="n">
        <v>0.591</v>
      </c>
      <c r="U69" s="29" t="n">
        <v>0.19</v>
      </c>
      <c r="V69" s="30" t="n">
        <v>25732</v>
      </c>
      <c r="W69" s="36">
        <f>IFERROR(G69*INDEX('Charts data (helper)'!$BI$119:$DZ$128,MATCH($Q$3,'Charts data (helper)'!$BH$119:$BH$128,0),MATCH($B69,'Charts data (helper)'!$BI$118:$DZ$118,0))/INDEX('Charts data (helper)'!$BI$119:$DZ$128,MATCH(0.07,'Charts data (helper)'!$BH$119:$BH$128,0),MATCH($B69,'Charts data (helper)'!$BI$118:$DZ$118,0)),G69)</f>
        <v/>
      </c>
      <c r="X69" s="16">
        <f>RANK(W69,$W$6:$W$76,1)</f>
        <v/>
      </c>
    </row>
    <row r="70">
      <c r="A70" s="16" t="n">
        <v>65</v>
      </c>
      <c r="B70" s="8" t="inlineStr">
        <is>
          <t>Chevy Tahoe</t>
        </is>
      </c>
      <c r="C70" s="16" t="inlineStr">
        <is>
          <t>SUV AWD</t>
        </is>
      </c>
      <c r="D70" s="16" t="inlineStr">
        <is>
          <t>gas</t>
        </is>
      </c>
      <c r="E70" s="8" t="inlineStr">
        <is>
          <t>55k mi → ~2022</t>
        </is>
      </c>
      <c r="F70" s="28" t="n">
        <v>39375</v>
      </c>
      <c r="G70" s="14">
        <f>0.4119+(F70-39375)/185500+0.04008*$D$3+0.0*$F$3</f>
        <v/>
      </c>
      <c r="H70" s="29">
        <f>0.4347+(F70-39375)/185500+0.04008*$D$3+0.0*$F$3</f>
        <v/>
      </c>
      <c r="I70" s="29">
        <f>0.4555+(F70-39375)/185500+0.04008*$D$3+0.0*$F$3</f>
        <v/>
      </c>
      <c r="J70" s="29">
        <f>0.4719+(F70-39375)/130000+0.04008*$D$3+0.0*$F$3</f>
        <v/>
      </c>
      <c r="K70" s="29">
        <f>0.04008*$D$3+0.0*$F$3</f>
        <v/>
      </c>
      <c r="L70" s="29">
        <f>G70-K70</f>
        <v/>
      </c>
      <c r="M70" s="30" t="n">
        <v>1880</v>
      </c>
      <c r="N70" s="31" t="inlineStr">
        <is>
          <t>live listings ~55k mi, $33,000-$45,000</t>
        </is>
      </c>
      <c r="O70" s="37" t="inlineStr">
        <is>
          <t>✗ not on list</t>
        </is>
      </c>
      <c r="P70" s="33" t="n">
        <v>0.625</v>
      </c>
      <c r="Q70" s="44" t="n">
        <v>7</v>
      </c>
      <c r="R70" s="29" t="n">
        <v>0.577</v>
      </c>
      <c r="S70" s="29" t="n">
        <v>0.6850000000000001</v>
      </c>
      <c r="T70" s="35" t="n">
        <v>0.543</v>
      </c>
      <c r="U70" s="29" t="n">
        <v>0.345</v>
      </c>
      <c r="V70" s="30" t="n">
        <v>64021</v>
      </c>
      <c r="W70" s="36">
        <f>IFERROR(G70*INDEX('Charts data (helper)'!$BI$119:$DZ$128,MATCH($Q$3,'Charts data (helper)'!$BH$119:$BH$128,0),MATCH($B70,'Charts data (helper)'!$BI$118:$DZ$118,0))/INDEX('Charts data (helper)'!$BI$119:$DZ$128,MATCH(0.07,'Charts data (helper)'!$BH$119:$BH$128,0),MATCH($B70,'Charts data (helper)'!$BI$118:$DZ$118,0)),G70)</f>
        <v/>
      </c>
      <c r="X70" s="16">
        <f>RANK(W70,$W$6:$W$76,1)</f>
        <v/>
      </c>
    </row>
    <row r="71">
      <c r="A71" s="16" t="n">
        <v>66</v>
      </c>
      <c r="B71" s="8" t="inlineStr">
        <is>
          <t>Jeep Grand Cherokee L</t>
        </is>
      </c>
      <c r="C71" s="16" t="inlineStr">
        <is>
          <t>SUV AWD</t>
        </is>
      </c>
      <c r="D71" s="16" t="inlineStr">
        <is>
          <t>gas</t>
        </is>
      </c>
      <c r="E71" s="8" t="inlineStr">
        <is>
          <t>55k mi → ~2022</t>
        </is>
      </c>
      <c r="F71" s="28" t="n">
        <v>28600</v>
      </c>
      <c r="G71" s="14">
        <f>0.4254+(F71-28600)/129600+0.03827*$D$3+0.0*$F$3</f>
        <v/>
      </c>
      <c r="H71" s="29">
        <f>0.4482+(F71-28600)/129600+0.03827*$D$3+0.0*$F$3</f>
        <v/>
      </c>
      <c r="I71" s="29">
        <f>0.4707+(F71-28600)/129600+0.03827*$D$3+0.0*$F$3</f>
        <v/>
      </c>
      <c r="J71" s="29">
        <f>0.4726+(F71-28600)/87000+0.03827*$D$3+0.0*$F$3</f>
        <v/>
      </c>
      <c r="K71" s="29">
        <f>0.03827*$D$3+0.0*$F$3</f>
        <v/>
      </c>
      <c r="L71" s="29">
        <f>G71-K71</f>
        <v/>
      </c>
      <c r="M71" s="30" t="n">
        <v>1760</v>
      </c>
      <c r="N71" s="31" t="inlineStr">
        <is>
          <t>live listings ~55k mi, $24,000-$32,500</t>
        </is>
      </c>
      <c r="O71" s="37" t="inlineStr">
        <is>
          <t>✗ not on list</t>
        </is>
      </c>
      <c r="P71" s="33" t="n">
        <v>0.641</v>
      </c>
      <c r="Q71" s="44" t="n">
        <v>7</v>
      </c>
      <c r="R71" s="29" t="n">
        <v>0.591</v>
      </c>
      <c r="S71" s="29" t="n">
        <v>0.695</v>
      </c>
      <c r="T71" s="35" t="n">
        <v>0.546</v>
      </c>
      <c r="U71" s="29" t="n">
        <v>0.213</v>
      </c>
      <c r="V71" s="30" t="n">
        <v>27544</v>
      </c>
      <c r="W71" s="36">
        <f>IFERROR(G71*INDEX('Charts data (helper)'!$BI$119:$DZ$128,MATCH($Q$3,'Charts data (helper)'!$BH$119:$BH$128,0),MATCH($B71,'Charts data (helper)'!$BI$118:$DZ$118,0))/INDEX('Charts data (helper)'!$BI$119:$DZ$128,MATCH(0.07,'Charts data (helper)'!$BH$119:$BH$128,0),MATCH($B71,'Charts data (helper)'!$BI$118:$DZ$118,0)),G71)</f>
        <v/>
      </c>
      <c r="X71" s="16">
        <f>RANK(W71,$W$6:$W$76,1)</f>
        <v/>
      </c>
    </row>
    <row r="72">
      <c r="A72" s="16" t="n">
        <v>67</v>
      </c>
      <c r="B72" s="8" t="inlineStr">
        <is>
          <t>Volvo V90 Cross Country</t>
        </is>
      </c>
      <c r="C72" s="16" t="inlineStr">
        <is>
          <t>SUV AWD</t>
        </is>
      </c>
      <c r="D72" s="16" t="inlineStr">
        <is>
          <t>gas</t>
        </is>
      </c>
      <c r="E72" s="8" t="inlineStr">
        <is>
          <t>65k mi → ~2021</t>
        </is>
      </c>
      <c r="F72" s="28" t="n">
        <v>29800</v>
      </c>
      <c r="G72" s="14">
        <f>0.4834+(F72-29800)/135200+0.02871*$D$3+0.0*$F$3</f>
        <v/>
      </c>
      <c r="H72" s="29">
        <f>0.5082+(F72-29800)/135200+0.02871*$D$3+0.0*$F$3</f>
        <v/>
      </c>
      <c r="I72" s="29">
        <f>0.5358+(F72-29800)/135200+0.02871*$D$3+0.0*$F$3</f>
        <v/>
      </c>
      <c r="J72" s="29">
        <f>0.5423+(F72-29800)/89000+0.02871*$D$3+0.0*$F$3</f>
        <v/>
      </c>
      <c r="K72" s="29">
        <f>0.02871*$D$3+0.0*$F$3</f>
        <v/>
      </c>
      <c r="L72" s="29">
        <f>G72-K72</f>
        <v/>
      </c>
      <c r="M72" s="30" t="n">
        <v>1880</v>
      </c>
      <c r="N72" s="31" t="inlineStr">
        <is>
          <t>live listings ~65k mi, $25,000-$34,000</t>
        </is>
      </c>
      <c r="O72" s="37" t="inlineStr">
        <is>
          <t>✗ not on comma list</t>
        </is>
      </c>
      <c r="P72" s="33" t="n">
        <v>0.626</v>
      </c>
      <c r="Q72" s="44" t="n">
        <v>7</v>
      </c>
      <c r="R72" s="29" t="n">
        <v>0.584</v>
      </c>
      <c r="S72" s="29" t="n">
        <v>0.715</v>
      </c>
      <c r="T72" s="35" t="n">
        <v>0.499</v>
      </c>
      <c r="U72" s="29" t="n">
        <v>0.225</v>
      </c>
      <c r="V72" s="30" t="n">
        <v>30429</v>
      </c>
      <c r="W72" s="36">
        <f>IFERROR(G72*INDEX('Charts data (helper)'!$BI$119:$DZ$128,MATCH($Q$3,'Charts data (helper)'!$BH$119:$BH$128,0),MATCH($B72,'Charts data (helper)'!$BI$118:$DZ$118,0))/INDEX('Charts data (helper)'!$BI$119:$DZ$128,MATCH(0.07,'Charts data (helper)'!$BH$119:$BH$128,0),MATCH($B72,'Charts data (helper)'!$BI$118:$DZ$118,0)),G72)</f>
        <v/>
      </c>
      <c r="X72" s="16">
        <f>RANK(W72,$W$6:$W$76,1)</f>
        <v/>
      </c>
    </row>
    <row r="73">
      <c r="A73" s="16" t="n">
        <v>68</v>
      </c>
      <c r="B73" s="8" t="inlineStr">
        <is>
          <t>Chevy Suburban</t>
        </is>
      </c>
      <c r="C73" s="16" t="inlineStr">
        <is>
          <t>SUV AWD</t>
        </is>
      </c>
      <c r="D73" s="16" t="inlineStr">
        <is>
          <t>gas</t>
        </is>
      </c>
      <c r="E73" s="8" t="inlineStr">
        <is>
          <t>55k mi → ~2022</t>
        </is>
      </c>
      <c r="F73" s="28" t="n">
        <v>42375</v>
      </c>
      <c r="G73" s="14">
        <f>0.424+(F73-42375)/189400+0.03974*$D$3+0.0*$F$3</f>
        <v/>
      </c>
      <c r="H73" s="29">
        <f>0.4468+(F73-42375)/189400+0.03974*$D$3+0.0*$F$3</f>
        <v/>
      </c>
      <c r="I73" s="29">
        <f>0.4689+(F73-42375)/189400+0.03974*$D$3+0.0*$F$3</f>
        <v/>
      </c>
      <c r="J73" s="29">
        <f>0.4906+(F73-42375)/133000+0.03974*$D$3+0.0*$F$3</f>
        <v/>
      </c>
      <c r="K73" s="29">
        <f>0.03974*$D$3+0.0*$F$3</f>
        <v/>
      </c>
      <c r="L73" s="29">
        <f>G73-K73</f>
        <v/>
      </c>
      <c r="M73" s="30" t="n">
        <v>1920</v>
      </c>
      <c r="N73" s="31" t="inlineStr">
        <is>
          <t>live listings ~55k mi, $36,000-$48,500</t>
        </is>
      </c>
      <c r="O73" s="37" t="inlineStr">
        <is>
          <t>✗ not on list</t>
        </is>
      </c>
      <c r="P73" s="33" t="n">
        <v>0.636</v>
      </c>
      <c r="Q73" s="44" t="n">
        <v>7</v>
      </c>
      <c r="R73" s="29" t="n">
        <v>0.589</v>
      </c>
      <c r="S73" s="29" t="n">
        <v>0.701</v>
      </c>
      <c r="T73" s="35" t="n">
        <v>0.871</v>
      </c>
      <c r="U73" s="29" t="n">
        <v>0.376</v>
      </c>
      <c r="V73" s="30" t="n">
        <v>71181</v>
      </c>
      <c r="W73" s="36">
        <f>IFERROR(G73*INDEX('Charts data (helper)'!$BI$119:$DZ$128,MATCH($Q$3,'Charts data (helper)'!$BH$119:$BH$128,0),MATCH($B73,'Charts data (helper)'!$BI$118:$DZ$118,0))/INDEX('Charts data (helper)'!$BI$119:$DZ$128,MATCH(0.07,'Charts data (helper)'!$BH$119:$BH$128,0),MATCH($B73,'Charts data (helper)'!$BI$118:$DZ$118,0)),G73)</f>
        <v/>
      </c>
      <c r="X73" s="16">
        <f>RANK(W73,$W$6:$W$76,1)</f>
        <v/>
      </c>
    </row>
    <row r="74">
      <c r="A74" s="16" t="n">
        <v>69</v>
      </c>
      <c r="B74" s="8" t="inlineStr">
        <is>
          <t>Volvo XC90</t>
        </is>
      </c>
      <c r="C74" s="16" t="inlineStr">
        <is>
          <t>SUV AWD</t>
        </is>
      </c>
      <c r="D74" s="16" t="inlineStr">
        <is>
          <t>gas</t>
        </is>
      </c>
      <c r="E74" s="8" t="inlineStr">
        <is>
          <t>70k mi → ~2021</t>
        </is>
      </c>
      <c r="F74" s="28" t="n">
        <v>30000</v>
      </c>
      <c r="G74" s="14">
        <f>0.5209+(F74-30000)/125000+0.03341*$D$3+0.0*$F$3</f>
        <v/>
      </c>
      <c r="H74" s="29">
        <f>0.5556+(F74-30000)/125000+0.03341*$D$3+0.0*$F$3</f>
        <v/>
      </c>
      <c r="I74" s="29">
        <f>0.5998+(F74-30000)/125000+0.03341*$D$3+0.0*$F$3</f>
        <v/>
      </c>
      <c r="J74" s="29">
        <f>0.5879+(F74-30000)/80000+0.03341*$D$3+0.0*$F$3</f>
        <v/>
      </c>
      <c r="K74" s="29">
        <f>0.03341*$D$3+0.0*$F$3</f>
        <v/>
      </c>
      <c r="L74" s="29">
        <f>G74-K74</f>
        <v/>
      </c>
      <c r="M74" s="30" t="n">
        <v>1920</v>
      </c>
      <c r="N74" s="31" t="inlineStr">
        <is>
          <t>live listings ~70k mi, $25,500-$34,500</t>
        </is>
      </c>
      <c r="O74" s="37" t="inlineStr">
        <is>
          <t>✗ not on comma list</t>
        </is>
      </c>
      <c r="P74" s="33" t="n">
        <v>0.6909999999999999</v>
      </c>
      <c r="Q74" s="45" t="n">
        <v>8</v>
      </c>
      <c r="R74" s="29" t="n">
        <v>0.635</v>
      </c>
      <c r="S74" s="29" t="n">
        <v>0.8110000000000001</v>
      </c>
      <c r="T74" s="35" t="n">
        <v>0.98</v>
      </c>
      <c r="U74" s="29" t="n">
        <v>0.22</v>
      </c>
      <c r="V74" s="30" t="n">
        <v>27499</v>
      </c>
      <c r="W74" s="36">
        <f>IFERROR(G74*INDEX('Charts data (helper)'!$BI$119:$DZ$128,MATCH($Q$3,'Charts data (helper)'!$BH$119:$BH$128,0),MATCH($B74,'Charts data (helper)'!$BI$118:$DZ$118,0))/INDEX('Charts data (helper)'!$BI$119:$DZ$128,MATCH(0.07,'Charts data (helper)'!$BH$119:$BH$128,0),MATCH($B74,'Charts data (helper)'!$BI$118:$DZ$118,0)),G74)</f>
        <v/>
      </c>
      <c r="X74" s="16">
        <f>RANK(W74,$W$6:$W$76,1)</f>
        <v/>
      </c>
    </row>
    <row r="75">
      <c r="A75" s="16" t="n">
        <v>70</v>
      </c>
      <c r="B75" s="8" t="inlineStr">
        <is>
          <t>Porsche 996 Carrera</t>
        </is>
      </c>
      <c r="C75" s="16" t="inlineStr">
        <is>
          <t>Sport</t>
        </is>
      </c>
      <c r="D75" s="16" t="inlineStr">
        <is>
          <t>gas</t>
        </is>
      </c>
      <c r="E75" s="8" t="inlineStr">
        <is>
          <t>55k mi → ~2004</t>
        </is>
      </c>
      <c r="F75" s="28" t="n">
        <v>38833</v>
      </c>
      <c r="G75" s="14">
        <f>0.6442+(F75-38833)/153000+0.03628*$D$3+0.0*$F$3</f>
        <v/>
      </c>
      <c r="H75" s="29">
        <f>0.6541+(F75-38833)/153000+0.03628*$D$3+0.0*$F$3</f>
        <v/>
      </c>
      <c r="I75" s="29">
        <f>0.6738+(F75-38833)/153000+0.03628*$D$3+0.0*$F$3</f>
        <v/>
      </c>
      <c r="J75" s="29">
        <f>0.6439+(F75-38833)/105000+0.03628*$D$3+0.0*$F$3</f>
        <v/>
      </c>
      <c r="K75" s="29">
        <f>0.03628*$D$3+0.0*$F$3</f>
        <v/>
      </c>
      <c r="L75" s="29">
        <f>G75-K75</f>
        <v/>
      </c>
      <c r="M75" s="30" t="n">
        <v>1760</v>
      </c>
      <c r="N75" s="31" t="inlineStr">
        <is>
          <t>live listings ~55k mi, $33,000-$44,500</t>
        </is>
      </c>
      <c r="O75" s="37" t="inlineStr">
        <is>
          <t>✗ it's a 2000s Porsche</t>
        </is>
      </c>
      <c r="P75" s="33" t="n">
        <v>0.804</v>
      </c>
      <c r="Q75" s="46" t="n">
        <v>9</v>
      </c>
      <c r="R75" s="29" t="n">
        <v>0.821</v>
      </c>
      <c r="S75" s="29" t="n">
        <v>0.91</v>
      </c>
      <c r="T75" s="35" t="n">
        <v>0.997</v>
      </c>
      <c r="U75" s="29" t="n">
        <v>0.112</v>
      </c>
      <c r="V75" s="30" t="n">
        <v>17068</v>
      </c>
      <c r="W75" s="36">
        <f>IFERROR(G75*INDEX('Charts data (helper)'!$BI$119:$DZ$128,MATCH($Q$3,'Charts data (helper)'!$BH$119:$BH$128,0),MATCH($B75,'Charts data (helper)'!$BI$118:$DZ$118,0))/INDEX('Charts data (helper)'!$BI$119:$DZ$128,MATCH(0.07,'Charts data (helper)'!$BH$119:$BH$128,0),MATCH($B75,'Charts data (helper)'!$BI$118:$DZ$118,0)),G75)</f>
        <v/>
      </c>
      <c r="X75" s="16">
        <f>RANK(W75,$W$6:$W$76,1)</f>
        <v/>
      </c>
    </row>
    <row r="76">
      <c r="A76" s="16" t="n">
        <v>71</v>
      </c>
      <c r="B76" s="8" t="inlineStr">
        <is>
          <t>Porsche 996 Turbo</t>
        </is>
      </c>
      <c r="C76" s="16" t="inlineStr">
        <is>
          <t>Sport</t>
        </is>
      </c>
      <c r="D76" s="16" t="inlineStr">
        <is>
          <t>gas</t>
        </is>
      </c>
      <c r="E76" s="8" t="inlineStr">
        <is>
          <t>55k mi → ~2005</t>
        </is>
      </c>
      <c r="F76" s="28" t="n">
        <v>60333</v>
      </c>
      <c r="G76" s="14">
        <f>0.8278+(F76-60333)/166000+0.03938*$D$3+0.0*$F$3</f>
        <v/>
      </c>
      <c r="H76" s="29">
        <f>0.8415+(F76-60333)/166000+0.03938*$D$3+0.0*$F$3</f>
        <v/>
      </c>
      <c r="I76" s="29">
        <f>0.8588+(F76-60333)/166000+0.03938*$D$3+0.0*$F$3</f>
        <v/>
      </c>
      <c r="J76" s="29">
        <f>0.829+(F76-60333)/115000+0.03938*$D$3+0.0*$F$3</f>
        <v/>
      </c>
      <c r="K76" s="29">
        <f>0.03938*$D$3+0.0*$F$3</f>
        <v/>
      </c>
      <c r="L76" s="29">
        <f>G76-K76</f>
        <v/>
      </c>
      <c r="M76" s="30" t="n">
        <v>1920</v>
      </c>
      <c r="N76" s="31" t="inlineStr">
        <is>
          <t>live listings ~55k mi, $51,000-$69,000</t>
        </is>
      </c>
      <c r="O76" s="37" t="inlineStr">
        <is>
          <t>✗ it's a 2000s Porsche</t>
        </is>
      </c>
      <c r="P76" s="33" t="n">
        <v>0.983</v>
      </c>
      <c r="Q76" s="47" t="n">
        <v>10</v>
      </c>
      <c r="R76" s="29" t="n">
        <v>1.014</v>
      </c>
      <c r="S76" s="29" t="n">
        <v>1.093</v>
      </c>
      <c r="T76" s="16" t="inlineStr">
        <is>
          <t>—</t>
        </is>
      </c>
      <c r="U76" s="29" t="n">
        <v>0.16</v>
      </c>
      <c r="V76" s="30" t="n">
        <v>26518</v>
      </c>
      <c r="W76" s="36">
        <f>IFERROR(G76*INDEX('Charts data (helper)'!$BI$119:$DZ$128,MATCH($Q$3,'Charts data (helper)'!$BH$119:$BH$128,0),MATCH($B76,'Charts data (helper)'!$BI$118:$DZ$118,0))/INDEX('Charts data (helper)'!$BI$119:$DZ$128,MATCH(0.07,'Charts data (helper)'!$BH$119:$BH$128,0),MATCH($B76,'Charts data (helper)'!$BI$118:$DZ$118,0)),G76)</f>
        <v/>
      </c>
      <c r="X76" s="16">
        <f>RANK(W76,$W$6:$W$76,1)</f>
        <v/>
      </c>
    </row>
    <row r="78">
      <c r="A78" s="48" t="inlineStr">
        <is>
          <t>STATISTICAL SIGNIFICANCE (from the Monte-Carlo draws): "Stat. tier" groups cars that are NOT statistically distinguishable — same colour = a statistical tie, so ordering within a tier is noise, not signal. "90% band low/high" = the range your actual $/mi is 90% likely to land in (outcome spread, not estimation error). "Beats next rank (P)" = probability this car truly comes in cheaper than the one directly below it (≈50% = coin-flip tie; &gt;85% = a real gap). The Monte-Carlo estimation error on each median is tiny (±$0.001-0.002 at N=1,100), so the uncertainty you see is real-world outcome spread, not simulation noise. OPPORTUNITY COST (a function of PURCHASE PRICE, not odometer): "Foregone mkt growth (life $)" = purchase price × ((1.07)^years − 1) — the S&amp;P return you give up by committing that cash to the car instead of the market. Pay more, forgo more. This is a SEPARATE future-value lens, NOT a line item added to the $/mi: the headline $/mi already accounts for the time value of money by discounting at 7% (a present-value method). Both express the same fact — capital tied in a car isn't compounding in the market.</t>
        </is>
      </c>
      <c r="Q78" s="24" t="inlineStr">
        <is>
          <t>HOW TO READ COLS Q–V ↓</t>
        </is>
      </c>
    </row>
    <row r="79"/>
    <row r="80"/>
    <row r="82">
      <c r="A82" s="5" t="inlineStr">
        <is>
          <t>METHOD (per your request): STEP 1 = pull verified cars.com listings across many odometers per vehicle (the 7 highest-volume models use wide multi-year pulls; others use narrower verified anchors). STEP 2 = that becomes the price-vs-odometer curve; the BUY POINT is the cost-optimal point on it, taken as the cheapest-to-buy odometer still within 1.5 cents/mile of the theoretical minimum (same $/mile, least capital). One verified price flows through everything; the Verify link is a live search centered on that exact odo/price band. P50 = median lifetime cost/mile; P90 = "bad-luck" tail (major repairs / battery). "$/mi if EOL=empirical" re-runs at raw iSeeCars retirement mileage (no maintained-survival bonus) — the pessimistic case; it hammers short-life cars (Tucson, Rogue, Escape) and barely touches the durable ones. EDIT THE PURCHASE PRICE: the yellow "Purchase $" column is live — type a real price you found and the P50/P75/P90/empirical columns AND the heat map recompute instantly. NOTE (v2b): this live edit only rescales the depreciation term (each $1 = 1/lifetime-miles per mile); it does NOT re-derive the use tax, total-loss charge, or the $6k full-coverage threshold, which in the full model also depend on price — so a big manual price change slightly under-adjusts $/mi. For an exact figure, change the price in the source and rebuild. Fixes applied vs prior version: empirical EOL + uniform 1.30 survival multiplier; probabilistic major-repair tail past 120k; real per-model insurance that DROPS to liability-only ($1176/yr, ×0.8 USAA) once the car is worth &lt;$6k; FLORIDA flat registration $55/yr (home-of-record — NOT CA VLF/smog/ZEV); per-segment tires; EV battery as probability×cost (not flat), DC-fast-charge premium + degradation; 5% discounting; editable verified buy prices (see links).</t>
        </is>
      </c>
    </row>
    <row r="83"/>
    <row r="84"/>
    <row r="85"/>
    <row r="86"/>
    <row r="87"/>
  </sheetData>
  <mergeCells count="6">
    <mergeCell ref="O3:P3"/>
    <mergeCell ref="A82:O87"/>
    <mergeCell ref="A78:P80"/>
    <mergeCell ref="H3:N3"/>
    <mergeCell ref="R3:V3"/>
    <mergeCell ref="A1:X1"/>
  </mergeCells>
  <dataValidations count="1">
    <dataValidation sqref="Q3" showDropDown="0" showInputMessage="0" showErrorMessage="0" allowBlank="0" type="list">
      <formula1>'Charts data (helper)'!$BH$119:$BH$128</formula1>
    </dataValidation>
  </dataValidation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 xmlns:r="http://schemas.openxmlformats.org/officeDocument/2006/relationships" ref="N15" r:id="rId10"/>
    <hyperlink xmlns:r="http://schemas.openxmlformats.org/officeDocument/2006/relationships" ref="N16" r:id="rId11"/>
    <hyperlink xmlns:r="http://schemas.openxmlformats.org/officeDocument/2006/relationships" ref="N17" r:id="rId12"/>
    <hyperlink xmlns:r="http://schemas.openxmlformats.org/officeDocument/2006/relationships" ref="N18" r:id="rId13"/>
    <hyperlink xmlns:r="http://schemas.openxmlformats.org/officeDocument/2006/relationships" ref="N19" r:id="rId14"/>
    <hyperlink xmlns:r="http://schemas.openxmlformats.org/officeDocument/2006/relationships" ref="N20" r:id="rId15"/>
    <hyperlink xmlns:r="http://schemas.openxmlformats.org/officeDocument/2006/relationships" ref="N21" r:id="rId16"/>
    <hyperlink xmlns:r="http://schemas.openxmlformats.org/officeDocument/2006/relationships" ref="N22" r:id="rId17"/>
    <hyperlink xmlns:r="http://schemas.openxmlformats.org/officeDocument/2006/relationships" ref="N23" r:id="rId18"/>
    <hyperlink xmlns:r="http://schemas.openxmlformats.org/officeDocument/2006/relationships" ref="N24" r:id="rId19"/>
    <hyperlink xmlns:r="http://schemas.openxmlformats.org/officeDocument/2006/relationships" ref="N25" r:id="rId20"/>
    <hyperlink xmlns:r="http://schemas.openxmlformats.org/officeDocument/2006/relationships" ref="N26" r:id="rId21"/>
    <hyperlink xmlns:r="http://schemas.openxmlformats.org/officeDocument/2006/relationships" ref="N27" r:id="rId22"/>
    <hyperlink xmlns:r="http://schemas.openxmlformats.org/officeDocument/2006/relationships" ref="N28" r:id="rId23"/>
    <hyperlink xmlns:r="http://schemas.openxmlformats.org/officeDocument/2006/relationships" ref="N29" r:id="rId24"/>
    <hyperlink xmlns:r="http://schemas.openxmlformats.org/officeDocument/2006/relationships" ref="N30" r:id="rId25"/>
    <hyperlink xmlns:r="http://schemas.openxmlformats.org/officeDocument/2006/relationships" ref="N31" r:id="rId26"/>
    <hyperlink xmlns:r="http://schemas.openxmlformats.org/officeDocument/2006/relationships" ref="N32" r:id="rId27"/>
    <hyperlink xmlns:r="http://schemas.openxmlformats.org/officeDocument/2006/relationships" ref="N33" r:id="rId28"/>
    <hyperlink xmlns:r="http://schemas.openxmlformats.org/officeDocument/2006/relationships" ref="N34" r:id="rId29"/>
    <hyperlink xmlns:r="http://schemas.openxmlformats.org/officeDocument/2006/relationships" ref="N35" r:id="rId30"/>
    <hyperlink xmlns:r="http://schemas.openxmlformats.org/officeDocument/2006/relationships" ref="N36" r:id="rId31"/>
    <hyperlink xmlns:r="http://schemas.openxmlformats.org/officeDocument/2006/relationships" ref="N37" r:id="rId32"/>
    <hyperlink xmlns:r="http://schemas.openxmlformats.org/officeDocument/2006/relationships" ref="N38" r:id="rId33"/>
    <hyperlink xmlns:r="http://schemas.openxmlformats.org/officeDocument/2006/relationships" ref="N39" r:id="rId34"/>
    <hyperlink xmlns:r="http://schemas.openxmlformats.org/officeDocument/2006/relationships" ref="N40" r:id="rId35"/>
    <hyperlink xmlns:r="http://schemas.openxmlformats.org/officeDocument/2006/relationships" ref="N41" r:id="rId36"/>
    <hyperlink xmlns:r="http://schemas.openxmlformats.org/officeDocument/2006/relationships" ref="N42" r:id="rId37"/>
    <hyperlink xmlns:r="http://schemas.openxmlformats.org/officeDocument/2006/relationships" ref="N43" r:id="rId38"/>
    <hyperlink xmlns:r="http://schemas.openxmlformats.org/officeDocument/2006/relationships" ref="N44" r:id="rId39"/>
    <hyperlink xmlns:r="http://schemas.openxmlformats.org/officeDocument/2006/relationships" ref="N45" r:id="rId40"/>
    <hyperlink xmlns:r="http://schemas.openxmlformats.org/officeDocument/2006/relationships" ref="N46" r:id="rId41"/>
    <hyperlink xmlns:r="http://schemas.openxmlformats.org/officeDocument/2006/relationships" ref="N47" r:id="rId42"/>
    <hyperlink xmlns:r="http://schemas.openxmlformats.org/officeDocument/2006/relationships" ref="N48" r:id="rId43"/>
    <hyperlink xmlns:r="http://schemas.openxmlformats.org/officeDocument/2006/relationships" ref="N49" r:id="rId44"/>
    <hyperlink xmlns:r="http://schemas.openxmlformats.org/officeDocument/2006/relationships" ref="N50" r:id="rId45"/>
    <hyperlink xmlns:r="http://schemas.openxmlformats.org/officeDocument/2006/relationships" ref="N51" r:id="rId46"/>
    <hyperlink xmlns:r="http://schemas.openxmlformats.org/officeDocument/2006/relationships" ref="N52" r:id="rId47"/>
    <hyperlink xmlns:r="http://schemas.openxmlformats.org/officeDocument/2006/relationships" ref="N53" r:id="rId48"/>
    <hyperlink xmlns:r="http://schemas.openxmlformats.org/officeDocument/2006/relationships" ref="N54" r:id="rId49"/>
    <hyperlink xmlns:r="http://schemas.openxmlformats.org/officeDocument/2006/relationships" ref="N55" r:id="rId50"/>
    <hyperlink xmlns:r="http://schemas.openxmlformats.org/officeDocument/2006/relationships" ref="N56" r:id="rId51"/>
    <hyperlink xmlns:r="http://schemas.openxmlformats.org/officeDocument/2006/relationships" ref="N57" r:id="rId52"/>
    <hyperlink xmlns:r="http://schemas.openxmlformats.org/officeDocument/2006/relationships" ref="N58" r:id="rId53"/>
    <hyperlink xmlns:r="http://schemas.openxmlformats.org/officeDocument/2006/relationships" ref="N59" r:id="rId54"/>
    <hyperlink xmlns:r="http://schemas.openxmlformats.org/officeDocument/2006/relationships" ref="N60" r:id="rId55"/>
    <hyperlink xmlns:r="http://schemas.openxmlformats.org/officeDocument/2006/relationships" ref="N61" r:id="rId56"/>
    <hyperlink xmlns:r="http://schemas.openxmlformats.org/officeDocument/2006/relationships" ref="N62" r:id="rId57"/>
    <hyperlink xmlns:r="http://schemas.openxmlformats.org/officeDocument/2006/relationships" ref="N63" r:id="rId58"/>
    <hyperlink xmlns:r="http://schemas.openxmlformats.org/officeDocument/2006/relationships" ref="N64" r:id="rId59"/>
    <hyperlink xmlns:r="http://schemas.openxmlformats.org/officeDocument/2006/relationships" ref="N65" r:id="rId60"/>
    <hyperlink xmlns:r="http://schemas.openxmlformats.org/officeDocument/2006/relationships" ref="N66" r:id="rId61"/>
    <hyperlink xmlns:r="http://schemas.openxmlformats.org/officeDocument/2006/relationships" ref="N67" r:id="rId62"/>
    <hyperlink xmlns:r="http://schemas.openxmlformats.org/officeDocument/2006/relationships" ref="N68" r:id="rId63"/>
    <hyperlink xmlns:r="http://schemas.openxmlformats.org/officeDocument/2006/relationships" ref="N69" r:id="rId64"/>
    <hyperlink xmlns:r="http://schemas.openxmlformats.org/officeDocument/2006/relationships" ref="N70" r:id="rId65"/>
    <hyperlink xmlns:r="http://schemas.openxmlformats.org/officeDocument/2006/relationships" ref="N71" r:id="rId66"/>
    <hyperlink xmlns:r="http://schemas.openxmlformats.org/officeDocument/2006/relationships" ref="N72" r:id="rId67"/>
    <hyperlink xmlns:r="http://schemas.openxmlformats.org/officeDocument/2006/relationships" ref="N73" r:id="rId68"/>
    <hyperlink xmlns:r="http://schemas.openxmlformats.org/officeDocument/2006/relationships" ref="N74" r:id="rId69"/>
    <hyperlink xmlns:r="http://schemas.openxmlformats.org/officeDocument/2006/relationships" ref="N75" r:id="rId70"/>
    <hyperlink xmlns:r="http://schemas.openxmlformats.org/officeDocument/2006/relationships" ref="N76" r:id="rId7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11"/>
  <sheetViews>
    <sheetView workbookViewId="0">
      <pane ySplit="12" topLeftCell="A13" activePane="bottomLeft" state="frozen"/>
      <selection pane="bottomLeft" activeCell="A1" sqref="A1"/>
    </sheetView>
  </sheetViews>
  <sheetFormatPr baseColWidth="8" defaultRowHeight="15"/>
  <cols>
    <col width="30" customWidth="1" min="1" max="1"/>
    <col width="11" customWidth="1" min="2" max="2"/>
    <col width="9" customWidth="1" min="3" max="3"/>
    <col width="9" customWidth="1" min="4" max="4"/>
    <col width="8" customWidth="1" min="5" max="5"/>
    <col width="7" customWidth="1" min="6" max="6"/>
    <col width="10" customWidth="1" min="7" max="7"/>
    <col width="9" customWidth="1" min="8" max="8"/>
    <col width="7" customWidth="1" min="9" max="9"/>
    <col width="9" customWidth="1" min="10" max="10"/>
    <col width="9" customWidth="1" min="11" max="11"/>
    <col width="7" customWidth="1" min="12" max="12"/>
    <col width="8" customWidth="1" min="13" max="13"/>
    <col width="8" customWidth="1" min="14" max="14"/>
    <col width="9" customWidth="1" min="15" max="15"/>
    <col width="9" customWidth="1" min="16" max="16"/>
    <col width="8" customWidth="1" min="17" max="17"/>
    <col width="8" customWidth="1" min="18" max="18"/>
    <col width="7" customWidth="1" min="19" max="19"/>
    <col width="8" customWidth="1" min="20" max="20"/>
  </cols>
  <sheetData>
    <row r="1">
      <c r="A1" s="6" t="inlineStr">
        <is>
          <t>ANY-CAR CALCULATOR — TWO ways to use it. (1) PICK a car from the Vehicle dropdown at the top (one list of all 69), pick the Year, and type the ODOMETER and PRICE off a listing — it auto-fills everything else and shows live $/mile + rank. (2) Or type ANY off-lineup car (garage-kept 2008/90k, exotic, whatever) into a yellow row in the table below; the End-of-life reference is at the very bottom. (Built as a single dropdown, not a Make→Model cascade, because Google Sheets and Excel-for-Mac do not support dependent/INDIRECT dropdowns.) Deterministic closed-form (no P90 bands); ~$0.03-0.08/mi above the Ranking tab because it does not discount future fuel, but every car is computed identically so comparisons are fair. California energy + your USAA/Florida basis. YELLOW = edit; grey = formula.</t>
        </is>
      </c>
    </row>
    <row r="3">
      <c r="A3" s="24" t="inlineStr">
        <is>
          <t>PICK A CAR ↓  (one dropdown = all 71 cars; auto-fills all but odometer &amp; price)</t>
        </is>
      </c>
    </row>
    <row r="4">
      <c r="A4" s="24" t="inlineStr">
        <is>
          <t>Vehicle</t>
        </is>
      </c>
      <c r="B4" s="49" t="inlineStr">
        <is>
          <t>Toyota RAV4 Hybrid</t>
        </is>
      </c>
      <c r="D4" s="24" t="inlineStr">
        <is>
          <t>EOL odo</t>
        </is>
      </c>
      <c r="E4" s="50">
        <f>IFERROR(INDEX(Lists!$D:$D,MATCH($B$4,Lists!$A:$A,0)),"?")</f>
        <v/>
      </c>
      <c r="F4" s="24" t="inlineStr">
        <is>
          <t>Run $/mi</t>
        </is>
      </c>
      <c r="G4" s="51">
        <f>IFERROR(INDEX(Lists!$G:$G,MATCH($B$4,Lists!$A:$A,0)),"?")</f>
        <v/>
      </c>
      <c r="H4" s="24" t="inlineStr">
        <is>
          <t>Scrap $</t>
        </is>
      </c>
      <c r="I4" s="52">
        <f>IFERROR(INDEX(Lists!$K:$K,MATCH($B$4,Lists!$A:$A,0)),"?")</f>
        <v/>
      </c>
    </row>
    <row r="5">
      <c r="A5" s="24" t="inlineStr">
        <is>
          <t>Year</t>
        </is>
      </c>
      <c r="B5" s="49" t="n">
        <v>2023</v>
      </c>
      <c r="D5" s="24" t="inlineStr">
        <is>
          <t>MPG</t>
        </is>
      </c>
      <c r="E5" s="50">
        <f>IFERROR(INDEX(Lists!$E:$E,MATCH($B$4,Lists!$A:$A,0)),"?")</f>
        <v/>
      </c>
      <c r="F5" s="24" t="inlineStr">
        <is>
          <t>Ins $/yr</t>
        </is>
      </c>
      <c r="G5" s="52">
        <f>IFERROR(INDEX(Lists!$H:$H,MATCH($B$4,Lists!$A:$A,0)),"?")</f>
        <v/>
      </c>
      <c r="H5" s="24" t="inlineStr">
        <is>
          <t>Year rel. ×</t>
        </is>
      </c>
      <c r="I5" s="53">
        <f>IF(ISNUMBER(SEARCH($B$5,IFERROR(INDEX(Lists!$P:$P,MATCH($B$4,Lists!$A:$A,0)),""))),1.4,IF(ISNUMBER(SEARCH($B$5,IFERROR(INDEX(Lists!$Q:$Q,MATCH($B$4,Lists!$A:$A,0)),""))),1.15,IF(ISNUMBER(SEARCH($B$5,IFERROR(INDEX(Lists!$R:$R,MATCH($B$4,Lists!$A:$A,0)),""))),0.95,1)))</f>
        <v/>
      </c>
    </row>
    <row r="6">
      <c r="A6" s="24" t="inlineStr">
        <is>
          <t>Odometer (mi) — from listing</t>
        </is>
      </c>
      <c r="B6" s="49" t="n">
        <v>40000</v>
      </c>
      <c r="D6" s="24" t="inlineStr">
        <is>
          <t>kWh/100</t>
        </is>
      </c>
      <c r="E6" s="50">
        <f>IFERROR(INDEX(Lists!$F:$F,MATCH($B$4,Lists!$A:$A,0)),"?")</f>
        <v/>
      </c>
      <c r="F6" s="24" t="inlineStr">
        <is>
          <t>Tires $/mi</t>
        </is>
      </c>
      <c r="G6" s="51">
        <f>IFERROR(INDEX(Lists!$I:$I,MATCH($B$4,Lists!$A:$A,0)),"?")</f>
        <v/>
      </c>
    </row>
    <row r="7">
      <c r="A7" s="24" t="inlineStr">
        <is>
          <t>Price $ — from listing</t>
        </is>
      </c>
      <c r="B7" s="54" t="n">
        <v>30444</v>
      </c>
      <c r="D7" s="24" t="inlineStr">
        <is>
          <t>YOUR PICK →</t>
        </is>
      </c>
      <c r="F7" s="55">
        <f>IFERROR(($B$7-$I$4)/($E$4-$B$6),0)+IF($E$5&gt;0,'Ranking (hardened)'!$D$3/$E$5,0)+IF($E$6&gt;0,($E$6/100)*'Ranking (hardened)'!$F$3,0)+$G$4*(1+MAX(0,(($B$6+$E$4)/2-100000)/100000)*0.5)*$I$5+($G$5*0.35+1176*0.65)/13000+55/13000+9*(2026-$B$5)/13000+$G$6</f>
        <v/>
      </c>
      <c r="G7" s="24" t="inlineStr">
        <is>
          <t>$/mi</t>
        </is>
      </c>
      <c r="H7" s="56">
        <f>COUNTIF(Lists!$L$2:$L$72,"&lt;"&amp;$F$7)+1</f>
        <v/>
      </c>
      <c r="I7" s="24" t="inlineStr">
        <is>
          <t>rank / 71</t>
        </is>
      </c>
    </row>
    <row r="8">
      <c r="A8" s="24" t="inlineStr">
        <is>
          <t>For this MODEL (survey stats) →</t>
        </is>
      </c>
      <c r="C8" s="24" t="inlineStr">
        <is>
          <t>Stat tier</t>
        </is>
      </c>
      <c r="D8" s="16">
        <f>IFERROR(INDEX(Lists!$T:$T,MATCH($B$4,Lists!$A:$A,0)),"custom")</f>
        <v/>
      </c>
      <c r="E8" s="24" t="inlineStr">
        <is>
          <t>90% band $/mi</t>
        </is>
      </c>
      <c r="F8" s="16">
        <f>IFERROR(TEXT(INDEX(Lists!$U:$U,MATCH($B$4,Lists!$A:$A,0)),"$0.000")&amp;" – "&amp;TEXT(INDEX(Lists!$V:$V,MATCH($B$4,Lists!$A:$A,0)),"$0.000"),"n/a (custom)")</f>
        <v/>
      </c>
      <c r="H8" s="24" t="inlineStr">
        <is>
          <t>Opp cost $/mi (on YOUR price)</t>
        </is>
      </c>
      <c r="I8" s="29">
        <f>IFERROR($B$7*((1+0.07)^(($E$4-$B$6)/13000)-1)/($E$4-$B$6),0)</f>
        <v/>
      </c>
    </row>
    <row r="9">
      <c r="A9" s="5" t="inlineStr">
        <is>
          <t>— OR type any off-lineup car into a yellow row below (or just type a name in the Vehicle box) —</t>
        </is>
      </c>
    </row>
    <row r="12" ht="30" customHeight="1">
      <c r="A12" s="7" t="inlineStr">
        <is>
          <t>Vehicle</t>
        </is>
      </c>
      <c r="B12" s="7" t="inlineStr">
        <is>
          <t>Class</t>
        </is>
      </c>
      <c r="C12" s="7" t="inlineStr">
        <is>
          <t>Purchase
$</t>
        </is>
      </c>
      <c r="D12" s="7" t="inlineStr">
        <is>
          <t>Resale $
(at end)</t>
        </is>
      </c>
      <c r="E12" s="7" t="inlineStr">
        <is>
          <t>Buy odo
(mi)</t>
        </is>
      </c>
      <c r="F12" s="7" t="inlineStr">
        <is>
          <t>Model
year</t>
        </is>
      </c>
      <c r="G12" s="7" t="inlineStr">
        <is>
          <t>End-of-life
odo (mi)</t>
        </is>
      </c>
      <c r="H12" s="7" t="inlineStr">
        <is>
          <t>MPG
(gas,0=EV)</t>
        </is>
      </c>
      <c r="I12" s="7" t="inlineStr">
        <is>
          <t>kWh/
100mi</t>
        </is>
      </c>
      <c r="J12" s="7" t="inlineStr">
        <is>
          <t>Run cost
$/mi (base)</t>
        </is>
      </c>
      <c r="K12" s="7" t="inlineStr">
        <is>
          <t>Insurance
full $/yr</t>
        </is>
      </c>
      <c r="L12" s="7" t="inlineStr">
        <is>
          <t>Tires
$/mi</t>
        </is>
      </c>
      <c r="M12" s="7" t="inlineStr">
        <is>
          <t>Life
miles</t>
        </is>
      </c>
      <c r="N12" s="7" t="inlineStr">
        <is>
          <t>Deprec.
$/mi</t>
        </is>
      </c>
      <c r="O12" s="7" t="inlineStr">
        <is>
          <t>Fuel/energy
$/mi</t>
        </is>
      </c>
      <c r="P12" s="7" t="inlineStr">
        <is>
          <t>Repair+maint
$/mi</t>
        </is>
      </c>
      <c r="Q12" s="7" t="inlineStr">
        <is>
          <t>Insurance
$/mi</t>
        </is>
      </c>
      <c r="R12" s="7" t="inlineStr">
        <is>
          <t>Registr.
$/mi</t>
        </is>
      </c>
      <c r="S12" s="7" t="inlineStr">
        <is>
          <t>Age
$/mi</t>
        </is>
      </c>
      <c r="T12" s="7" t="inlineStr">
        <is>
          <t>TOTAL
$/mile</t>
        </is>
      </c>
    </row>
    <row r="13">
      <c r="A13" s="8" t="inlineStr">
        <is>
          <t>Chevy Bolt EV</t>
        </is>
      </c>
      <c r="B13" s="16" t="inlineStr">
        <is>
          <t>EV</t>
        </is>
      </c>
      <c r="C13" s="28" t="n">
        <v>15643</v>
      </c>
      <c r="D13" s="28" t="n">
        <v>600</v>
      </c>
      <c r="E13" s="57" t="n">
        <v>45000</v>
      </c>
      <c r="F13" s="58" t="n">
        <v>2023</v>
      </c>
      <c r="G13" s="57" t="n">
        <v>200200</v>
      </c>
      <c r="H13" s="59" t="n">
        <v>0</v>
      </c>
      <c r="I13" s="59" t="n">
        <v>30.2</v>
      </c>
      <c r="J13" s="60" t="n">
        <v>0.045</v>
      </c>
      <c r="K13" s="28" t="n">
        <v>1660</v>
      </c>
      <c r="L13" s="60" t="n">
        <v>0.03</v>
      </c>
      <c r="M13" s="61">
        <f>G13-E13</f>
        <v/>
      </c>
      <c r="N13" s="29">
        <f>IFERROR((C13-D13)/M13,"")</f>
        <v/>
      </c>
      <c r="O13" s="29">
        <f>IF(H13&gt;0,'Ranking (hardened)'!$D$3/H13,0)+IF(I13&gt;0,(I13/100)*'Ranking (hardened)'!$F$3,0)</f>
        <v/>
      </c>
      <c r="P13" s="29">
        <f>J13*(1+MAX(0,((E13+G13)/2-100000)/100000)*0.5)</f>
        <v/>
      </c>
      <c r="Q13" s="29">
        <f>(K13*0.35+650*0.65)/13000</f>
        <v/>
      </c>
      <c r="R13" s="29">
        <f>55/13000</f>
        <v/>
      </c>
      <c r="S13" s="29">
        <f>9*(2026-F13)/13000</f>
        <v/>
      </c>
      <c r="T13" s="14">
        <f>IFERROR(N13+O13+P13+Q13+R13+S13+L13,"")</f>
        <v/>
      </c>
    </row>
    <row r="14">
      <c r="A14" s="8" t="inlineStr">
        <is>
          <t>Chevy Volt</t>
        </is>
      </c>
      <c r="B14" s="16" t="inlineStr">
        <is>
          <t>PHEV</t>
        </is>
      </c>
      <c r="C14" s="28" t="n">
        <v>15143</v>
      </c>
      <c r="D14" s="28" t="n">
        <v>600</v>
      </c>
      <c r="E14" s="57" t="n">
        <v>55000</v>
      </c>
      <c r="F14" s="58" t="n">
        <v>2019</v>
      </c>
      <c r="G14" s="57" t="n">
        <v>200200</v>
      </c>
      <c r="H14" s="59" t="n">
        <v>210</v>
      </c>
      <c r="I14" s="59" t="n">
        <v>26</v>
      </c>
      <c r="J14" s="60" t="n">
        <v>0.065</v>
      </c>
      <c r="K14" s="28" t="n">
        <v>1440</v>
      </c>
      <c r="L14" s="60" t="n">
        <v>0.024</v>
      </c>
      <c r="M14" s="61">
        <f>G14-E14</f>
        <v/>
      </c>
      <c r="N14" s="29">
        <f>IFERROR((C14-D14)/M14,"")</f>
        <v/>
      </c>
      <c r="O14" s="29">
        <f>IF(H14&gt;0,'Ranking (hardened)'!$D$3/H14,0)+IF(I14&gt;0,(I14/100)*'Ranking (hardened)'!$F$3,0)</f>
        <v/>
      </c>
      <c r="P14" s="29">
        <f>J14*(1+MAX(0,((E14+G14)/2-100000)/100000)*0.5)</f>
        <v/>
      </c>
      <c r="Q14" s="29">
        <f>(K14*0.35+650*0.65)/13000</f>
        <v/>
      </c>
      <c r="R14" s="29">
        <f>55/13000</f>
        <v/>
      </c>
      <c r="S14" s="29">
        <f>9*(2026-F14)/13000</f>
        <v/>
      </c>
      <c r="T14" s="14">
        <f>IFERROR(N14+O14+P14+Q14+R14+S14+L14,"")</f>
        <v/>
      </c>
    </row>
    <row r="15">
      <c r="A15" s="8" t="inlineStr">
        <is>
          <t>Toyota Prius (hybrid)</t>
        </is>
      </c>
      <c r="B15" s="16" t="inlineStr">
        <is>
          <t>Car</t>
        </is>
      </c>
      <c r="C15" s="28" t="n">
        <v>26000</v>
      </c>
      <c r="D15" s="28" t="n">
        <v>400</v>
      </c>
      <c r="E15" s="57" t="n">
        <v>40000</v>
      </c>
      <c r="F15" s="58" t="n">
        <v>2023</v>
      </c>
      <c r="G15" s="57" t="n">
        <v>249600</v>
      </c>
      <c r="H15" s="59" t="n">
        <v>50</v>
      </c>
      <c r="I15" s="59" t="n">
        <v>0</v>
      </c>
      <c r="J15" s="60" t="n">
        <v>0.045</v>
      </c>
      <c r="K15" s="28" t="n">
        <v>1800</v>
      </c>
      <c r="L15" s="60" t="n">
        <v>0.018</v>
      </c>
      <c r="M15" s="61">
        <f>G15-E15</f>
        <v/>
      </c>
      <c r="N15" s="29">
        <f>IFERROR((C15-D15)/M15,"")</f>
        <v/>
      </c>
      <c r="O15" s="29">
        <f>IF(H15&gt;0,'Ranking (hardened)'!$D$3/H15,0)+IF(I15&gt;0,(I15/100)*'Ranking (hardened)'!$F$3,0)</f>
        <v/>
      </c>
      <c r="P15" s="29">
        <f>J15*(1+MAX(0,((E15+G15)/2-100000)/100000)*0.5)</f>
        <v/>
      </c>
      <c r="Q15" s="29">
        <f>(K15*0.35+650*0.65)/13000</f>
        <v/>
      </c>
      <c r="R15" s="29">
        <f>55/13000</f>
        <v/>
      </c>
      <c r="S15" s="29">
        <f>9*(2026-F15)/13000</f>
        <v/>
      </c>
      <c r="T15" s="14">
        <f>IFERROR(N15+O15+P15+Q15+R15+S15+L15,"")</f>
        <v/>
      </c>
    </row>
    <row r="16">
      <c r="A16" s="8" t="inlineStr">
        <is>
          <t>Toyota Prius Prime</t>
        </is>
      </c>
      <c r="B16" s="16" t="inlineStr">
        <is>
          <t>PHEV</t>
        </is>
      </c>
      <c r="C16" s="28" t="n">
        <v>15000</v>
      </c>
      <c r="D16" s="28" t="n">
        <v>600</v>
      </c>
      <c r="E16" s="57" t="n">
        <v>90000</v>
      </c>
      <c r="F16" s="58" t="n">
        <v>2019</v>
      </c>
      <c r="G16" s="57" t="n">
        <v>235300</v>
      </c>
      <c r="H16" s="59" t="n">
        <v>120</v>
      </c>
      <c r="I16" s="59" t="n">
        <v>14.4</v>
      </c>
      <c r="J16" s="60" t="n">
        <v>0.045</v>
      </c>
      <c r="K16" s="28" t="n">
        <v>1920</v>
      </c>
      <c r="L16" s="60" t="n">
        <v>0.024</v>
      </c>
      <c r="M16" s="61">
        <f>G16-E16</f>
        <v/>
      </c>
      <c r="N16" s="29">
        <f>IFERROR((C16-D16)/M16,"")</f>
        <v/>
      </c>
      <c r="O16" s="29">
        <f>IF(H16&gt;0,'Ranking (hardened)'!$D$3/H16,0)+IF(I16&gt;0,(I16/100)*'Ranking (hardened)'!$F$3,0)</f>
        <v/>
      </c>
      <c r="P16" s="29">
        <f>J16*(1+MAX(0,((E16+G16)/2-100000)/100000)*0.5)</f>
        <v/>
      </c>
      <c r="Q16" s="29">
        <f>(K16*0.35+650*0.65)/13000</f>
        <v/>
      </c>
      <c r="R16" s="29">
        <f>55/13000</f>
        <v/>
      </c>
      <c r="S16" s="29">
        <f>9*(2026-F16)/13000</f>
        <v/>
      </c>
      <c r="T16" s="14">
        <f>IFERROR(N16+O16+P16+Q16+R16+S16+L16,"")</f>
        <v/>
      </c>
    </row>
    <row r="17">
      <c r="A17" s="8" t="inlineStr">
        <is>
          <t>Toyota Corolla</t>
        </is>
      </c>
      <c r="B17" s="16" t="inlineStr">
        <is>
          <t>Car</t>
        </is>
      </c>
      <c r="C17" s="28" t="n">
        <v>17659</v>
      </c>
      <c r="D17" s="28" t="n">
        <v>400</v>
      </c>
      <c r="E17" s="57" t="n">
        <v>55000</v>
      </c>
      <c r="F17" s="58" t="n">
        <v>2022</v>
      </c>
      <c r="G17" s="57" t="n">
        <v>249600</v>
      </c>
      <c r="H17" s="59" t="n">
        <v>31</v>
      </c>
      <c r="I17" s="59" t="n">
        <v>0</v>
      </c>
      <c r="J17" s="60" t="n">
        <v>0.045</v>
      </c>
      <c r="K17" s="28" t="n">
        <v>1920</v>
      </c>
      <c r="L17" s="60" t="n">
        <v>0.018</v>
      </c>
      <c r="M17" s="61">
        <f>G17-E17</f>
        <v/>
      </c>
      <c r="N17" s="29">
        <f>IFERROR((C17-D17)/M17,"")</f>
        <v/>
      </c>
      <c r="O17" s="29">
        <f>IF(H17&gt;0,'Ranking (hardened)'!$D$3/H17,0)+IF(I17&gt;0,(I17/100)*'Ranking (hardened)'!$F$3,0)</f>
        <v/>
      </c>
      <c r="P17" s="29">
        <f>J17*(1+MAX(0,((E17+G17)/2-100000)/100000)*0.5)</f>
        <v/>
      </c>
      <c r="Q17" s="29">
        <f>(K17*0.35+650*0.65)/13000</f>
        <v/>
      </c>
      <c r="R17" s="29">
        <f>55/13000</f>
        <v/>
      </c>
      <c r="S17" s="29">
        <f>9*(2026-F17)/13000</f>
        <v/>
      </c>
      <c r="T17" s="14">
        <f>IFERROR(N17+O17+P17+Q17+R17+S17+L17,"")</f>
        <v/>
      </c>
    </row>
    <row r="18">
      <c r="A18" s="8" t="inlineStr">
        <is>
          <t>Toyota Camry Hybrid</t>
        </is>
      </c>
      <c r="B18" s="16" t="inlineStr">
        <is>
          <t>Car</t>
        </is>
      </c>
      <c r="C18" s="28" t="n">
        <v>16500</v>
      </c>
      <c r="D18" s="28" t="n">
        <v>400</v>
      </c>
      <c r="E18" s="57" t="n">
        <v>80000</v>
      </c>
      <c r="F18" s="58" t="n">
        <v>2020</v>
      </c>
      <c r="G18" s="57" t="n">
        <v>249600</v>
      </c>
      <c r="H18" s="59" t="n">
        <v>42</v>
      </c>
      <c r="I18" s="59" t="n">
        <v>0</v>
      </c>
      <c r="J18" s="60" t="n">
        <v>0.045</v>
      </c>
      <c r="K18" s="28" t="n">
        <v>1920</v>
      </c>
      <c r="L18" s="60" t="n">
        <v>0.018</v>
      </c>
      <c r="M18" s="61">
        <f>G18-E18</f>
        <v/>
      </c>
      <c r="N18" s="29">
        <f>IFERROR((C18-D18)/M18,"")</f>
        <v/>
      </c>
      <c r="O18" s="29">
        <f>IF(H18&gt;0,'Ranking (hardened)'!$D$3/H18,0)+IF(I18&gt;0,(I18/100)*'Ranking (hardened)'!$F$3,0)</f>
        <v/>
      </c>
      <c r="P18" s="29">
        <f>J18*(1+MAX(0,((E18+G18)/2-100000)/100000)*0.5)</f>
        <v/>
      </c>
      <c r="Q18" s="29">
        <f>(K18*0.35+650*0.65)/13000</f>
        <v/>
      </c>
      <c r="R18" s="29">
        <f>55/13000</f>
        <v/>
      </c>
      <c r="S18" s="29">
        <f>9*(2026-F18)/13000</f>
        <v/>
      </c>
      <c r="T18" s="14">
        <f>IFERROR(N18+O18+P18+Q18+R18+S18+L18,"")</f>
        <v/>
      </c>
    </row>
    <row r="19">
      <c r="A19" s="8" t="inlineStr">
        <is>
          <t>Honda Civic</t>
        </is>
      </c>
      <c r="B19" s="16" t="inlineStr">
        <is>
          <t>Car</t>
        </is>
      </c>
      <c r="C19" s="28" t="n">
        <v>23789</v>
      </c>
      <c r="D19" s="28" t="n">
        <v>400</v>
      </c>
      <c r="E19" s="57" t="n">
        <v>35000</v>
      </c>
      <c r="F19" s="58" t="n">
        <v>2023</v>
      </c>
      <c r="G19" s="57" t="n">
        <v>235300</v>
      </c>
      <c r="H19" s="59" t="n">
        <v>32</v>
      </c>
      <c r="I19" s="59" t="n">
        <v>0</v>
      </c>
      <c r="J19" s="60" t="n">
        <v>0.045</v>
      </c>
      <c r="K19" s="28" t="n">
        <v>1840</v>
      </c>
      <c r="L19" s="60" t="n">
        <v>0.018</v>
      </c>
      <c r="M19" s="61">
        <f>G19-E19</f>
        <v/>
      </c>
      <c r="N19" s="29">
        <f>IFERROR((C19-D19)/M19,"")</f>
        <v/>
      </c>
      <c r="O19" s="29">
        <f>IF(H19&gt;0,'Ranking (hardened)'!$D$3/H19,0)+IF(I19&gt;0,(I19/100)*'Ranking (hardened)'!$F$3,0)</f>
        <v/>
      </c>
      <c r="P19" s="29">
        <f>J19*(1+MAX(0,((E19+G19)/2-100000)/100000)*0.5)</f>
        <v/>
      </c>
      <c r="Q19" s="29">
        <f>(K19*0.35+650*0.65)/13000</f>
        <v/>
      </c>
      <c r="R19" s="29">
        <f>55/13000</f>
        <v/>
      </c>
      <c r="S19" s="29">
        <f>9*(2026-F19)/13000</f>
        <v/>
      </c>
      <c r="T19" s="14">
        <f>IFERROR(N19+O19+P19+Q19+R19+S19+L19,"")</f>
        <v/>
      </c>
    </row>
    <row r="20">
      <c r="A20" s="8" t="inlineStr">
        <is>
          <t>Nissan Leaf</t>
        </is>
      </c>
      <c r="B20" s="16" t="inlineStr">
        <is>
          <t>EV</t>
        </is>
      </c>
      <c r="C20" s="28" t="n">
        <v>11667</v>
      </c>
      <c r="D20" s="28" t="n">
        <v>600</v>
      </c>
      <c r="E20" s="57" t="n">
        <v>45000</v>
      </c>
      <c r="F20" s="58" t="n">
        <v>2023</v>
      </c>
      <c r="G20" s="57" t="n">
        <v>140400</v>
      </c>
      <c r="H20" s="59" t="n">
        <v>0</v>
      </c>
      <c r="I20" s="59" t="n">
        <v>32.4</v>
      </c>
      <c r="J20" s="60" t="n">
        <v>0.065</v>
      </c>
      <c r="K20" s="28" t="n">
        <v>1760</v>
      </c>
      <c r="L20" s="60" t="n">
        <v>0.03</v>
      </c>
      <c r="M20" s="61">
        <f>G20-E20</f>
        <v/>
      </c>
      <c r="N20" s="29">
        <f>IFERROR((C20-D20)/M20,"")</f>
        <v/>
      </c>
      <c r="O20" s="29">
        <f>IF(H20&gt;0,'Ranking (hardened)'!$D$3/H20,0)+IF(I20&gt;0,(I20/100)*'Ranking (hardened)'!$F$3,0)</f>
        <v/>
      </c>
      <c r="P20" s="29">
        <f>J20*(1+MAX(0,((E20+G20)/2-100000)/100000)*0.5)</f>
        <v/>
      </c>
      <c r="Q20" s="29">
        <f>(K20*0.35+650*0.65)/13000</f>
        <v/>
      </c>
      <c r="R20" s="29">
        <f>55/13000</f>
        <v/>
      </c>
      <c r="S20" s="29">
        <f>9*(2026-F20)/13000</f>
        <v/>
      </c>
      <c r="T20" s="14">
        <f>IFERROR(N20+O20+P20+Q20+R20+S20+L20,"")</f>
        <v/>
      </c>
    </row>
    <row r="21">
      <c r="A21" s="8" t="inlineStr">
        <is>
          <t>Hyundai Elantra</t>
        </is>
      </c>
      <c r="B21" s="16" t="inlineStr">
        <is>
          <t>Car</t>
        </is>
      </c>
      <c r="C21" s="28" t="n">
        <v>16000</v>
      </c>
      <c r="D21" s="28" t="n">
        <v>400</v>
      </c>
      <c r="E21" s="57" t="n">
        <v>45000</v>
      </c>
      <c r="F21" s="58" t="n">
        <v>2023</v>
      </c>
      <c r="G21" s="57" t="n">
        <v>200200</v>
      </c>
      <c r="H21" s="59" t="n">
        <v>35</v>
      </c>
      <c r="I21" s="59" t="n">
        <v>0</v>
      </c>
      <c r="J21" s="60" t="n">
        <v>0.065</v>
      </c>
      <c r="K21" s="28" t="n">
        <v>1640</v>
      </c>
      <c r="L21" s="60" t="n">
        <v>0.018</v>
      </c>
      <c r="M21" s="61">
        <f>G21-E21</f>
        <v/>
      </c>
      <c r="N21" s="29">
        <f>IFERROR((C21-D21)/M21,"")</f>
        <v/>
      </c>
      <c r="O21" s="29">
        <f>IF(H21&gt;0,'Ranking (hardened)'!$D$3/H21,0)+IF(I21&gt;0,(I21/100)*'Ranking (hardened)'!$F$3,0)</f>
        <v/>
      </c>
      <c r="P21" s="29">
        <f>J21*(1+MAX(0,((E21+G21)/2-100000)/100000)*0.5)</f>
        <v/>
      </c>
      <c r="Q21" s="29">
        <f>(K21*0.35+650*0.65)/13000</f>
        <v/>
      </c>
      <c r="R21" s="29">
        <f>55/13000</f>
        <v/>
      </c>
      <c r="S21" s="29">
        <f>9*(2026-F21)/13000</f>
        <v/>
      </c>
      <c r="T21" s="14">
        <f>IFERROR(N21+O21+P21+Q21+R21+S21+L21,"")</f>
        <v/>
      </c>
    </row>
    <row r="22">
      <c r="A22" s="8" t="inlineStr">
        <is>
          <t>Honda Accord</t>
        </is>
      </c>
      <c r="B22" s="16" t="inlineStr">
        <is>
          <t>Car</t>
        </is>
      </c>
      <c r="C22" s="28" t="n">
        <v>16143</v>
      </c>
      <c r="D22" s="28" t="n">
        <v>400</v>
      </c>
      <c r="E22" s="57" t="n">
        <v>70000</v>
      </c>
      <c r="F22" s="58" t="n">
        <v>2021</v>
      </c>
      <c r="G22" s="57" t="n">
        <v>240500</v>
      </c>
      <c r="H22" s="59" t="n">
        <v>31</v>
      </c>
      <c r="I22" s="59" t="n">
        <v>0</v>
      </c>
      <c r="J22" s="60" t="n">
        <v>0.045</v>
      </c>
      <c r="K22" s="28" t="n">
        <v>1840</v>
      </c>
      <c r="L22" s="60" t="n">
        <v>0.018</v>
      </c>
      <c r="M22" s="61">
        <f>G22-E22</f>
        <v/>
      </c>
      <c r="N22" s="29">
        <f>IFERROR((C22-D22)/M22,"")</f>
        <v/>
      </c>
      <c r="O22" s="29">
        <f>IF(H22&gt;0,'Ranking (hardened)'!$D$3/H22,0)+IF(I22&gt;0,(I22/100)*'Ranking (hardened)'!$F$3,0)</f>
        <v/>
      </c>
      <c r="P22" s="29">
        <f>J22*(1+MAX(0,((E22+G22)/2-100000)/100000)*0.5)</f>
        <v/>
      </c>
      <c r="Q22" s="29">
        <f>(K22*0.35+650*0.65)/13000</f>
        <v/>
      </c>
      <c r="R22" s="29">
        <f>55/13000</f>
        <v/>
      </c>
      <c r="S22" s="29">
        <f>9*(2026-F22)/13000</f>
        <v/>
      </c>
      <c r="T22" s="14">
        <f>IFERROR(N22+O22+P22+Q22+R22+S22+L22,"")</f>
        <v/>
      </c>
    </row>
    <row r="23">
      <c r="A23" s="8" t="inlineStr">
        <is>
          <t>Kia K4</t>
        </is>
      </c>
      <c r="B23" s="16" t="inlineStr">
        <is>
          <t>Car</t>
        </is>
      </c>
      <c r="C23" s="28" t="n">
        <v>20125</v>
      </c>
      <c r="D23" s="28" t="n">
        <v>400</v>
      </c>
      <c r="E23" s="57" t="n">
        <v>18000</v>
      </c>
      <c r="F23" s="58" t="n">
        <v>2025</v>
      </c>
      <c r="G23" s="57" t="n">
        <v>189800</v>
      </c>
      <c r="H23" s="59" t="n">
        <v>34</v>
      </c>
      <c r="I23" s="59" t="n">
        <v>0</v>
      </c>
      <c r="J23" s="60" t="n">
        <v>0.065</v>
      </c>
      <c r="K23" s="28" t="n">
        <v>1640</v>
      </c>
      <c r="L23" s="60" t="n">
        <v>0.018</v>
      </c>
      <c r="M23" s="61">
        <f>G23-E23</f>
        <v/>
      </c>
      <c r="N23" s="29">
        <f>IFERROR((C23-D23)/M23,"")</f>
        <v/>
      </c>
      <c r="O23" s="29">
        <f>IF(H23&gt;0,'Ranking (hardened)'!$D$3/H23,0)+IF(I23&gt;0,(I23/100)*'Ranking (hardened)'!$F$3,0)</f>
        <v/>
      </c>
      <c r="P23" s="29">
        <f>J23*(1+MAX(0,((E23+G23)/2-100000)/100000)*0.5)</f>
        <v/>
      </c>
      <c r="Q23" s="29">
        <f>(K23*0.35+650*0.65)/13000</f>
        <v/>
      </c>
      <c r="R23" s="29">
        <f>55/13000</f>
        <v/>
      </c>
      <c r="S23" s="29">
        <f>9*(2026-F23)/13000</f>
        <v/>
      </c>
      <c r="T23" s="14">
        <f>IFERROR(N23+O23+P23+Q23+R23+S23+L23,"")</f>
        <v/>
      </c>
    </row>
    <row r="24">
      <c r="A24" s="8" t="inlineStr">
        <is>
          <t>Mazda3 (SkyActiv)</t>
        </is>
      </c>
      <c r="B24" s="16" t="inlineStr">
        <is>
          <t>Car</t>
        </is>
      </c>
      <c r="C24" s="28" t="n">
        <v>15000</v>
      </c>
      <c r="D24" s="28" t="n">
        <v>400</v>
      </c>
      <c r="E24" s="57" t="n">
        <v>65000</v>
      </c>
      <c r="F24" s="58" t="n">
        <v>2021</v>
      </c>
      <c r="G24" s="57" t="n">
        <v>210600</v>
      </c>
      <c r="H24" s="59" t="n">
        <v>30</v>
      </c>
      <c r="I24" s="59" t="n">
        <v>0</v>
      </c>
      <c r="J24" s="60" t="n">
        <v>0.045</v>
      </c>
      <c r="K24" s="28" t="n">
        <v>1720</v>
      </c>
      <c r="L24" s="60" t="n">
        <v>0.018</v>
      </c>
      <c r="M24" s="61">
        <f>G24-E24</f>
        <v/>
      </c>
      <c r="N24" s="29">
        <f>IFERROR((C24-D24)/M24,"")</f>
        <v/>
      </c>
      <c r="O24" s="29">
        <f>IF(H24&gt;0,'Ranking (hardened)'!$D$3/H24,0)+IF(I24&gt;0,(I24/100)*'Ranking (hardened)'!$F$3,0)</f>
        <v/>
      </c>
      <c r="P24" s="29">
        <f>J24*(1+MAX(0,((E24+G24)/2-100000)/100000)*0.5)</f>
        <v/>
      </c>
      <c r="Q24" s="29">
        <f>(K24*0.35+650*0.65)/13000</f>
        <v/>
      </c>
      <c r="R24" s="29">
        <f>55/13000</f>
        <v/>
      </c>
      <c r="S24" s="29">
        <f>9*(2026-F24)/13000</f>
        <v/>
      </c>
      <c r="T24" s="14">
        <f>IFERROR(N24+O24+P24+Q24+R24+S24+L24,"")</f>
        <v/>
      </c>
    </row>
    <row r="25">
      <c r="A25" s="8" t="inlineStr">
        <is>
          <t>Toyota Camry</t>
        </is>
      </c>
      <c r="B25" s="16" t="inlineStr">
        <is>
          <t>Car</t>
        </is>
      </c>
      <c r="C25" s="28" t="n">
        <v>22400</v>
      </c>
      <c r="D25" s="28" t="n">
        <v>400</v>
      </c>
      <c r="E25" s="57" t="n">
        <v>55000</v>
      </c>
      <c r="F25" s="58" t="n">
        <v>2022</v>
      </c>
      <c r="G25" s="57" t="n">
        <v>254800</v>
      </c>
      <c r="H25" s="59" t="n">
        <v>30</v>
      </c>
      <c r="I25" s="59" t="n">
        <v>0</v>
      </c>
      <c r="J25" s="60" t="n">
        <v>0.045</v>
      </c>
      <c r="K25" s="28" t="n">
        <v>1840</v>
      </c>
      <c r="L25" s="60" t="n">
        <v>0.018</v>
      </c>
      <c r="M25" s="61">
        <f>G25-E25</f>
        <v/>
      </c>
      <c r="N25" s="29">
        <f>IFERROR((C25-D25)/M25,"")</f>
        <v/>
      </c>
      <c r="O25" s="29">
        <f>IF(H25&gt;0,'Ranking (hardened)'!$D$3/H25,0)+IF(I25&gt;0,(I25/100)*'Ranking (hardened)'!$F$3,0)</f>
        <v/>
      </c>
      <c r="P25" s="29">
        <f>J25*(1+MAX(0,((E25+G25)/2-100000)/100000)*0.5)</f>
        <v/>
      </c>
      <c r="Q25" s="29">
        <f>(K25*0.35+650*0.65)/13000</f>
        <v/>
      </c>
      <c r="R25" s="29">
        <f>55/13000</f>
        <v/>
      </c>
      <c r="S25" s="29">
        <f>9*(2026-F25)/13000</f>
        <v/>
      </c>
      <c r="T25" s="14">
        <f>IFERROR(N25+O25+P25+Q25+R25+S25+L25,"")</f>
        <v/>
      </c>
    </row>
    <row r="26">
      <c r="A26" s="8" t="inlineStr">
        <is>
          <t>Toyota RAV4 Hybrid</t>
        </is>
      </c>
      <c r="B26" s="16" t="inlineStr">
        <is>
          <t>SUV AWD</t>
        </is>
      </c>
      <c r="C26" s="28" t="n">
        <v>30444</v>
      </c>
      <c r="D26" s="28" t="n">
        <v>500</v>
      </c>
      <c r="E26" s="57" t="n">
        <v>40000</v>
      </c>
      <c r="F26" s="58" t="n">
        <v>2023</v>
      </c>
      <c r="G26" s="57" t="n">
        <v>244400</v>
      </c>
      <c r="H26" s="59" t="n">
        <v>40</v>
      </c>
      <c r="I26" s="59" t="n">
        <v>0</v>
      </c>
      <c r="J26" s="60" t="n">
        <v>0.045</v>
      </c>
      <c r="K26" s="28" t="n">
        <v>1800</v>
      </c>
      <c r="L26" s="60" t="n">
        <v>0.024</v>
      </c>
      <c r="M26" s="61">
        <f>G26-E26</f>
        <v/>
      </c>
      <c r="N26" s="29">
        <f>IFERROR((C26-D26)/M26,"")</f>
        <v/>
      </c>
      <c r="O26" s="29">
        <f>IF(H26&gt;0,'Ranking (hardened)'!$D$3/H26,0)+IF(I26&gt;0,(I26/100)*'Ranking (hardened)'!$F$3,0)</f>
        <v/>
      </c>
      <c r="P26" s="29">
        <f>J26*(1+MAX(0,((E26+G26)/2-100000)/100000)*0.5)</f>
        <v/>
      </c>
      <c r="Q26" s="29">
        <f>(K26*0.35+650*0.65)/13000</f>
        <v/>
      </c>
      <c r="R26" s="29">
        <f>55/13000</f>
        <v/>
      </c>
      <c r="S26" s="29">
        <f>9*(2026-F26)/13000</f>
        <v/>
      </c>
      <c r="T26" s="14">
        <f>IFERROR(N26+O26+P26+Q26+R26+S26+L26,"")</f>
        <v/>
      </c>
    </row>
    <row r="27">
      <c r="A27" s="8" t="inlineStr">
        <is>
          <t>Kia Niro (hybrid)</t>
        </is>
      </c>
      <c r="B27" s="16" t="inlineStr">
        <is>
          <t>SUV</t>
        </is>
      </c>
      <c r="C27" s="28" t="n">
        <v>17000</v>
      </c>
      <c r="D27" s="28" t="n">
        <v>450</v>
      </c>
      <c r="E27" s="57" t="n">
        <v>65000</v>
      </c>
      <c r="F27" s="58" t="n">
        <v>2021</v>
      </c>
      <c r="G27" s="57" t="n">
        <v>205400</v>
      </c>
      <c r="H27" s="59" t="n">
        <v>49</v>
      </c>
      <c r="I27" s="59" t="n">
        <v>0</v>
      </c>
      <c r="J27" s="60" t="n">
        <v>0.065</v>
      </c>
      <c r="K27" s="28" t="n">
        <v>1680</v>
      </c>
      <c r="L27" s="60" t="n">
        <v>0.022</v>
      </c>
      <c r="M27" s="61">
        <f>G27-E27</f>
        <v/>
      </c>
      <c r="N27" s="29">
        <f>IFERROR((C27-D27)/M27,"")</f>
        <v/>
      </c>
      <c r="O27" s="29">
        <f>IF(H27&gt;0,'Ranking (hardened)'!$D$3/H27,0)+IF(I27&gt;0,(I27/100)*'Ranking (hardened)'!$F$3,0)</f>
        <v/>
      </c>
      <c r="P27" s="29">
        <f>J27*(1+MAX(0,((E27+G27)/2-100000)/100000)*0.5)</f>
        <v/>
      </c>
      <c r="Q27" s="29">
        <f>(K27*0.35+650*0.65)/13000</f>
        <v/>
      </c>
      <c r="R27" s="29">
        <f>55/13000</f>
        <v/>
      </c>
      <c r="S27" s="29">
        <f>9*(2026-F27)/13000</f>
        <v/>
      </c>
      <c r="T27" s="14">
        <f>IFERROR(N27+O27+P27+Q27+R27+S27+L27,"")</f>
        <v/>
      </c>
    </row>
    <row r="28">
      <c r="A28" s="8" t="inlineStr">
        <is>
          <t>Tesla Model 3</t>
        </is>
      </c>
      <c r="B28" s="16" t="inlineStr">
        <is>
          <t>EV</t>
        </is>
      </c>
      <c r="C28" s="28" t="n">
        <v>21500</v>
      </c>
      <c r="D28" s="28" t="n">
        <v>600</v>
      </c>
      <c r="E28" s="57" t="n">
        <v>60000</v>
      </c>
      <c r="F28" s="58" t="n">
        <v>2021</v>
      </c>
      <c r="G28" s="57" t="n">
        <v>230100</v>
      </c>
      <c r="H28" s="59" t="n">
        <v>0</v>
      </c>
      <c r="I28" s="59" t="n">
        <v>25.9</v>
      </c>
      <c r="J28" s="60" t="n">
        <v>0.065</v>
      </c>
      <c r="K28" s="28" t="n">
        <v>2480</v>
      </c>
      <c r="L28" s="60" t="n">
        <v>0.03</v>
      </c>
      <c r="M28" s="61">
        <f>G28-E28</f>
        <v/>
      </c>
      <c r="N28" s="29">
        <f>IFERROR((C28-D28)/M28,"")</f>
        <v/>
      </c>
      <c r="O28" s="29">
        <f>IF(H28&gt;0,'Ranking (hardened)'!$D$3/H28,0)+IF(I28&gt;0,(I28/100)*'Ranking (hardened)'!$F$3,0)</f>
        <v/>
      </c>
      <c r="P28" s="29">
        <f>J28*(1+MAX(0,((E28+G28)/2-100000)/100000)*0.5)</f>
        <v/>
      </c>
      <c r="Q28" s="29">
        <f>(K28*0.35+650*0.65)/13000</f>
        <v/>
      </c>
      <c r="R28" s="29">
        <f>55/13000</f>
        <v/>
      </c>
      <c r="S28" s="29">
        <f>9*(2026-F28)/13000</f>
        <v/>
      </c>
      <c r="T28" s="14">
        <f>IFERROR(N28+O28+P28+Q28+R28+S28+L28,"")</f>
        <v/>
      </c>
    </row>
    <row r="29">
      <c r="A29" s="8" t="inlineStr">
        <is>
          <t>Hyundai Sonata</t>
        </is>
      </c>
      <c r="B29" s="16" t="inlineStr">
        <is>
          <t>Car</t>
        </is>
      </c>
      <c r="C29" s="28" t="n">
        <v>15333</v>
      </c>
      <c r="D29" s="28" t="n">
        <v>400</v>
      </c>
      <c r="E29" s="57" t="n">
        <v>60000</v>
      </c>
      <c r="F29" s="58" t="n">
        <v>2021</v>
      </c>
      <c r="G29" s="57" t="n">
        <v>195000</v>
      </c>
      <c r="H29" s="59" t="n">
        <v>32</v>
      </c>
      <c r="I29" s="59" t="n">
        <v>0</v>
      </c>
      <c r="J29" s="60" t="n">
        <v>0.065</v>
      </c>
      <c r="K29" s="28" t="n">
        <v>1720</v>
      </c>
      <c r="L29" s="60" t="n">
        <v>0.018</v>
      </c>
      <c r="M29" s="61">
        <f>G29-E29</f>
        <v/>
      </c>
      <c r="N29" s="29">
        <f>IFERROR((C29-D29)/M29,"")</f>
        <v/>
      </c>
      <c r="O29" s="29">
        <f>IF(H29&gt;0,'Ranking (hardened)'!$D$3/H29,0)+IF(I29&gt;0,(I29/100)*'Ranking (hardened)'!$F$3,0)</f>
        <v/>
      </c>
      <c r="P29" s="29">
        <f>J29*(1+MAX(0,((E29+G29)/2-100000)/100000)*0.5)</f>
        <v/>
      </c>
      <c r="Q29" s="29">
        <f>(K29*0.35+650*0.65)/13000</f>
        <v/>
      </c>
      <c r="R29" s="29">
        <f>55/13000</f>
        <v/>
      </c>
      <c r="S29" s="29">
        <f>9*(2026-F29)/13000</f>
        <v/>
      </c>
      <c r="T29" s="14">
        <f>IFERROR(N29+O29+P29+Q29+R29+S29+L29,"")</f>
        <v/>
      </c>
    </row>
    <row r="30">
      <c r="A30" s="8" t="inlineStr">
        <is>
          <t>Toyota RAV4</t>
        </is>
      </c>
      <c r="B30" s="16" t="inlineStr">
        <is>
          <t>SUV</t>
        </is>
      </c>
      <c r="C30" s="28" t="n">
        <v>20600</v>
      </c>
      <c r="D30" s="28" t="n">
        <v>450</v>
      </c>
      <c r="E30" s="57" t="n">
        <v>80000</v>
      </c>
      <c r="F30" s="58" t="n">
        <v>2020</v>
      </c>
      <c r="G30" s="57" t="n">
        <v>240500</v>
      </c>
      <c r="H30" s="59" t="n">
        <v>28</v>
      </c>
      <c r="I30" s="59" t="n">
        <v>0</v>
      </c>
      <c r="J30" s="60" t="n">
        <v>0.045</v>
      </c>
      <c r="K30" s="28" t="n">
        <v>1720</v>
      </c>
      <c r="L30" s="60" t="n">
        <v>0.022</v>
      </c>
      <c r="M30" s="61">
        <f>G30-E30</f>
        <v/>
      </c>
      <c r="N30" s="29">
        <f>IFERROR((C30-D30)/M30,"")</f>
        <v/>
      </c>
      <c r="O30" s="29">
        <f>IF(H30&gt;0,'Ranking (hardened)'!$D$3/H30,0)+IF(I30&gt;0,(I30/100)*'Ranking (hardened)'!$F$3,0)</f>
        <v/>
      </c>
      <c r="P30" s="29">
        <f>J30*(1+MAX(0,((E30+G30)/2-100000)/100000)*0.5)</f>
        <v/>
      </c>
      <c r="Q30" s="29">
        <f>(K30*0.35+650*0.65)/13000</f>
        <v/>
      </c>
      <c r="R30" s="29">
        <f>55/13000</f>
        <v/>
      </c>
      <c r="S30" s="29">
        <f>9*(2026-F30)/13000</f>
        <v/>
      </c>
      <c r="T30" s="14">
        <f>IFERROR(N30+O30+P30+Q30+R30+S30+L30,"")</f>
        <v/>
      </c>
    </row>
    <row r="31">
      <c r="A31" s="8" t="inlineStr">
        <is>
          <t>Fiat 500</t>
        </is>
      </c>
      <c r="B31" s="16" t="inlineStr">
        <is>
          <t>Car</t>
        </is>
      </c>
      <c r="C31" s="28" t="n">
        <v>10200</v>
      </c>
      <c r="D31" s="28" t="n">
        <v>400</v>
      </c>
      <c r="E31" s="57" t="n">
        <v>40000</v>
      </c>
      <c r="F31" s="58" t="n">
        <v>2019</v>
      </c>
      <c r="G31" s="57" t="n">
        <v>159900</v>
      </c>
      <c r="H31" s="59" t="n">
        <v>33</v>
      </c>
      <c r="I31" s="59" t="n">
        <v>0</v>
      </c>
      <c r="J31" s="60" t="n">
        <v>0.08500000000000001</v>
      </c>
      <c r="K31" s="28" t="n">
        <v>1600</v>
      </c>
      <c r="L31" s="60" t="n">
        <v>0.018</v>
      </c>
      <c r="M31" s="61">
        <f>G31-E31</f>
        <v/>
      </c>
      <c r="N31" s="29">
        <f>IFERROR((C31-D31)/M31,"")</f>
        <v/>
      </c>
      <c r="O31" s="29">
        <f>IF(H31&gt;0,'Ranking (hardened)'!$D$3/H31,0)+IF(I31&gt;0,(I31/100)*'Ranking (hardened)'!$F$3,0)</f>
        <v/>
      </c>
      <c r="P31" s="29">
        <f>J31*(1+MAX(0,((E31+G31)/2-100000)/100000)*0.5)</f>
        <v/>
      </c>
      <c r="Q31" s="29">
        <f>(K31*0.35+650*0.65)/13000</f>
        <v/>
      </c>
      <c r="R31" s="29">
        <f>55/13000</f>
        <v/>
      </c>
      <c r="S31" s="29">
        <f>9*(2026-F31)/13000</f>
        <v/>
      </c>
      <c r="T31" s="14">
        <f>IFERROR(N31+O31+P31+Q31+R31+S31+L31,"")</f>
        <v/>
      </c>
    </row>
    <row r="32">
      <c r="A32" s="8" t="inlineStr">
        <is>
          <t>Honda CR-V</t>
        </is>
      </c>
      <c r="B32" s="16" t="inlineStr">
        <is>
          <t>SUV</t>
        </is>
      </c>
      <c r="C32" s="28" t="n">
        <v>20500</v>
      </c>
      <c r="D32" s="28" t="n">
        <v>450</v>
      </c>
      <c r="E32" s="57" t="n">
        <v>75000</v>
      </c>
      <c r="F32" s="58" t="n">
        <v>2020</v>
      </c>
      <c r="G32" s="57" t="n">
        <v>240500</v>
      </c>
      <c r="H32" s="59" t="n">
        <v>28</v>
      </c>
      <c r="I32" s="59" t="n">
        <v>0</v>
      </c>
      <c r="J32" s="60" t="n">
        <v>0.045</v>
      </c>
      <c r="K32" s="28" t="n">
        <v>1680</v>
      </c>
      <c r="L32" s="60" t="n">
        <v>0.022</v>
      </c>
      <c r="M32" s="61">
        <f>G32-E32</f>
        <v/>
      </c>
      <c r="N32" s="29">
        <f>IFERROR((C32-D32)/M32,"")</f>
        <v/>
      </c>
      <c r="O32" s="29">
        <f>IF(H32&gt;0,'Ranking (hardened)'!$D$3/H32,0)+IF(I32&gt;0,(I32/100)*'Ranking (hardened)'!$F$3,0)</f>
        <v/>
      </c>
      <c r="P32" s="29">
        <f>J32*(1+MAX(0,((E32+G32)/2-100000)/100000)*0.5)</f>
        <v/>
      </c>
      <c r="Q32" s="29">
        <f>(K32*0.35+650*0.65)/13000</f>
        <v/>
      </c>
      <c r="R32" s="29">
        <f>55/13000</f>
        <v/>
      </c>
      <c r="S32" s="29">
        <f>9*(2026-F32)/13000</f>
        <v/>
      </c>
      <c r="T32" s="14">
        <f>IFERROR(N32+O32+P32+Q32+R32+S32+L32,"")</f>
        <v/>
      </c>
    </row>
    <row r="33">
      <c r="A33" s="8" t="inlineStr">
        <is>
          <t>VW ID.4 (AWD avail)</t>
        </is>
      </c>
      <c r="B33" s="16" t="inlineStr">
        <is>
          <t>EV SUV</t>
        </is>
      </c>
      <c r="C33" s="28" t="n">
        <v>22500</v>
      </c>
      <c r="D33" s="28" t="n">
        <v>700</v>
      </c>
      <c r="E33" s="57" t="n">
        <v>45000</v>
      </c>
      <c r="F33" s="58" t="n">
        <v>2023</v>
      </c>
      <c r="G33" s="57" t="n">
        <v>195000</v>
      </c>
      <c r="H33" s="59" t="n">
        <v>0</v>
      </c>
      <c r="I33" s="59" t="n">
        <v>36.7</v>
      </c>
      <c r="J33" s="60" t="n">
        <v>0.08500000000000001</v>
      </c>
      <c r="K33" s="28" t="n">
        <v>1920</v>
      </c>
      <c r="L33" s="60" t="n">
        <v>0.03</v>
      </c>
      <c r="M33" s="61">
        <f>G33-E33</f>
        <v/>
      </c>
      <c r="N33" s="29">
        <f>IFERROR((C33-D33)/M33,"")</f>
        <v/>
      </c>
      <c r="O33" s="29">
        <f>IF(H33&gt;0,'Ranking (hardened)'!$D$3/H33,0)+IF(I33&gt;0,(I33/100)*'Ranking (hardened)'!$F$3,0)</f>
        <v/>
      </c>
      <c r="P33" s="29">
        <f>J33*(1+MAX(0,((E33+G33)/2-100000)/100000)*0.5)</f>
        <v/>
      </c>
      <c r="Q33" s="29">
        <f>(K33*0.35+650*0.65)/13000</f>
        <v/>
      </c>
      <c r="R33" s="29">
        <f>55/13000</f>
        <v/>
      </c>
      <c r="S33" s="29">
        <f>9*(2026-F33)/13000</f>
        <v/>
      </c>
      <c r="T33" s="14">
        <f>IFERROR(N33+O33+P33+Q33+R33+S33+L33,"")</f>
        <v/>
      </c>
    </row>
    <row r="34">
      <c r="A34" s="8" t="inlineStr">
        <is>
          <t>Toyota RAV4 Prime</t>
        </is>
      </c>
      <c r="B34" s="16" t="inlineStr">
        <is>
          <t>PHEV SUV AWD</t>
        </is>
      </c>
      <c r="C34" s="28" t="n">
        <v>35000</v>
      </c>
      <c r="D34" s="28" t="n">
        <v>800</v>
      </c>
      <c r="E34" s="57" t="n">
        <v>55000</v>
      </c>
      <c r="F34" s="58" t="n">
        <v>2022</v>
      </c>
      <c r="G34" s="57" t="n">
        <v>235300</v>
      </c>
      <c r="H34" s="59" t="n">
        <v>152</v>
      </c>
      <c r="I34" s="59" t="n">
        <v>28.4</v>
      </c>
      <c r="J34" s="60" t="n">
        <v>0.045</v>
      </c>
      <c r="K34" s="28" t="n">
        <v>1760</v>
      </c>
      <c r="L34" s="60" t="n">
        <v>0.026</v>
      </c>
      <c r="M34" s="61">
        <f>G34-E34</f>
        <v/>
      </c>
      <c r="N34" s="29">
        <f>IFERROR((C34-D34)/M34,"")</f>
        <v/>
      </c>
      <c r="O34" s="29">
        <f>IF(H34&gt;0,'Ranking (hardened)'!$D$3/H34,0)+IF(I34&gt;0,(I34/100)*'Ranking (hardened)'!$F$3,0)</f>
        <v/>
      </c>
      <c r="P34" s="29">
        <f>J34*(1+MAX(0,((E34+G34)/2-100000)/100000)*0.5)</f>
        <v/>
      </c>
      <c r="Q34" s="29">
        <f>(K34*0.35+650*0.65)/13000</f>
        <v/>
      </c>
      <c r="R34" s="29">
        <f>55/13000</f>
        <v/>
      </c>
      <c r="S34" s="29">
        <f>9*(2026-F34)/13000</f>
        <v/>
      </c>
      <c r="T34" s="14">
        <f>IFERROR(N34+O34+P34+Q34+R34+S34+L34,"")</f>
        <v/>
      </c>
    </row>
    <row r="35">
      <c r="A35" s="8" t="inlineStr">
        <is>
          <t>Kia Soul</t>
        </is>
      </c>
      <c r="B35" s="16" t="inlineStr">
        <is>
          <t>SUV</t>
        </is>
      </c>
      <c r="C35" s="28" t="n">
        <v>14500</v>
      </c>
      <c r="D35" s="28" t="n">
        <v>450</v>
      </c>
      <c r="E35" s="57" t="n">
        <v>60000</v>
      </c>
      <c r="F35" s="58" t="n">
        <v>2021</v>
      </c>
      <c r="G35" s="57" t="n">
        <v>184600</v>
      </c>
      <c r="H35" s="59" t="n">
        <v>29</v>
      </c>
      <c r="I35" s="59" t="n">
        <v>0</v>
      </c>
      <c r="J35" s="60" t="n">
        <v>0.065</v>
      </c>
      <c r="K35" s="28" t="n">
        <v>1640</v>
      </c>
      <c r="L35" s="60" t="n">
        <v>0.022</v>
      </c>
      <c r="M35" s="61">
        <f>G35-E35</f>
        <v/>
      </c>
      <c r="N35" s="29">
        <f>IFERROR((C35-D35)/M35,"")</f>
        <v/>
      </c>
      <c r="O35" s="29">
        <f>IF(H35&gt;0,'Ranking (hardened)'!$D$3/H35,0)+IF(I35&gt;0,(I35/100)*'Ranking (hardened)'!$F$3,0)</f>
        <v/>
      </c>
      <c r="P35" s="29">
        <f>J35*(1+MAX(0,((E35+G35)/2-100000)/100000)*0.5)</f>
        <v/>
      </c>
      <c r="Q35" s="29">
        <f>(K35*0.35+650*0.65)/13000</f>
        <v/>
      </c>
      <c r="R35" s="29">
        <f>55/13000</f>
        <v/>
      </c>
      <c r="S35" s="29">
        <f>9*(2026-F35)/13000</f>
        <v/>
      </c>
      <c r="T35" s="14">
        <f>IFERROR(N35+O35+P35+Q35+R35+S35+L35,"")</f>
        <v/>
      </c>
    </row>
    <row r="36">
      <c r="A36" s="8" t="inlineStr">
        <is>
          <t>VW Passat</t>
        </is>
      </c>
      <c r="B36" s="16" t="inlineStr">
        <is>
          <t>Car</t>
        </is>
      </c>
      <c r="C36" s="28" t="n">
        <v>14200</v>
      </c>
      <c r="D36" s="28" t="n">
        <v>400</v>
      </c>
      <c r="E36" s="57" t="n">
        <v>55000</v>
      </c>
      <c r="F36" s="58" t="n">
        <v>2022</v>
      </c>
      <c r="G36" s="57" t="n">
        <v>189800</v>
      </c>
      <c r="H36" s="59" t="n">
        <v>28</v>
      </c>
      <c r="I36" s="59" t="n">
        <v>0</v>
      </c>
      <c r="J36" s="60" t="n">
        <v>0.065</v>
      </c>
      <c r="K36" s="28" t="n">
        <v>1720</v>
      </c>
      <c r="L36" s="60" t="n">
        <v>0.018</v>
      </c>
      <c r="M36" s="61">
        <f>G36-E36</f>
        <v/>
      </c>
      <c r="N36" s="29">
        <f>IFERROR((C36-D36)/M36,"")</f>
        <v/>
      </c>
      <c r="O36" s="29">
        <f>IF(H36&gt;0,'Ranking (hardened)'!$D$3/H36,0)+IF(I36&gt;0,(I36/100)*'Ranking (hardened)'!$F$3,0)</f>
        <v/>
      </c>
      <c r="P36" s="29">
        <f>J36*(1+MAX(0,((E36+G36)/2-100000)/100000)*0.5)</f>
        <v/>
      </c>
      <c r="Q36" s="29">
        <f>(K36*0.35+650*0.65)/13000</f>
        <v/>
      </c>
      <c r="R36" s="29">
        <f>55/13000</f>
        <v/>
      </c>
      <c r="S36" s="29">
        <f>9*(2026-F36)/13000</f>
        <v/>
      </c>
      <c r="T36" s="14">
        <f>IFERROR(N36+O36+P36+Q36+R36+S36+L36,"")</f>
        <v/>
      </c>
    </row>
    <row r="37">
      <c r="A37" s="8" t="inlineStr">
        <is>
          <t>Buick Encore</t>
        </is>
      </c>
      <c r="B37" s="16" t="inlineStr">
        <is>
          <t>SUV</t>
        </is>
      </c>
      <c r="C37" s="28" t="n">
        <v>14800</v>
      </c>
      <c r="D37" s="28" t="n">
        <v>450</v>
      </c>
      <c r="E37" s="57" t="n">
        <v>50000</v>
      </c>
      <c r="F37" s="58" t="n">
        <v>2022</v>
      </c>
      <c r="G37" s="57" t="n">
        <v>175500</v>
      </c>
      <c r="H37" s="59" t="n">
        <v>28</v>
      </c>
      <c r="I37" s="59" t="n">
        <v>0</v>
      </c>
      <c r="J37" s="60" t="n">
        <v>0.065</v>
      </c>
      <c r="K37" s="28" t="n">
        <v>1680</v>
      </c>
      <c r="L37" s="60" t="n">
        <v>0.022</v>
      </c>
      <c r="M37" s="61">
        <f>G37-E37</f>
        <v/>
      </c>
      <c r="N37" s="29">
        <f>IFERROR((C37-D37)/M37,"")</f>
        <v/>
      </c>
      <c r="O37" s="29">
        <f>IF(H37&gt;0,'Ranking (hardened)'!$D$3/H37,0)+IF(I37&gt;0,(I37/100)*'Ranking (hardened)'!$F$3,0)</f>
        <v/>
      </c>
      <c r="P37" s="29">
        <f>J37*(1+MAX(0,((E37+G37)/2-100000)/100000)*0.5)</f>
        <v/>
      </c>
      <c r="Q37" s="29">
        <f>(K37*0.35+650*0.65)/13000</f>
        <v/>
      </c>
      <c r="R37" s="29">
        <f>55/13000</f>
        <v/>
      </c>
      <c r="S37" s="29">
        <f>9*(2026-F37)/13000</f>
        <v/>
      </c>
      <c r="T37" s="14">
        <f>IFERROR(N37+O37+P37+Q37+R37+S37+L37,"")</f>
        <v/>
      </c>
    </row>
    <row r="38">
      <c r="A38" s="8" t="inlineStr">
        <is>
          <t>Hyundai Kona</t>
        </is>
      </c>
      <c r="B38" s="16" t="inlineStr">
        <is>
          <t>SUV</t>
        </is>
      </c>
      <c r="C38" s="28" t="n">
        <v>15000</v>
      </c>
      <c r="D38" s="28" t="n">
        <v>450</v>
      </c>
      <c r="E38" s="57" t="n">
        <v>65000</v>
      </c>
      <c r="F38" s="58" t="n">
        <v>2021</v>
      </c>
      <c r="G38" s="57" t="n">
        <v>184600</v>
      </c>
      <c r="H38" s="59" t="n">
        <v>30</v>
      </c>
      <c r="I38" s="59" t="n">
        <v>0</v>
      </c>
      <c r="J38" s="60" t="n">
        <v>0.065</v>
      </c>
      <c r="K38" s="28" t="n">
        <v>1640</v>
      </c>
      <c r="L38" s="60" t="n">
        <v>0.022</v>
      </c>
      <c r="M38" s="61">
        <f>G38-E38</f>
        <v/>
      </c>
      <c r="N38" s="29">
        <f>IFERROR((C38-D38)/M38,"")</f>
        <v/>
      </c>
      <c r="O38" s="29">
        <f>IF(H38&gt;0,'Ranking (hardened)'!$D$3/H38,0)+IF(I38&gt;0,(I38/100)*'Ranking (hardened)'!$F$3,0)</f>
        <v/>
      </c>
      <c r="P38" s="29">
        <f>J38*(1+MAX(0,((E38+G38)/2-100000)/100000)*0.5)</f>
        <v/>
      </c>
      <c r="Q38" s="29">
        <f>(K38*0.35+650*0.65)/13000</f>
        <v/>
      </c>
      <c r="R38" s="29">
        <f>55/13000</f>
        <v/>
      </c>
      <c r="S38" s="29">
        <f>9*(2026-F38)/13000</f>
        <v/>
      </c>
      <c r="T38" s="14">
        <f>IFERROR(N38+O38+P38+Q38+R38+S38+L38,"")</f>
        <v/>
      </c>
    </row>
    <row r="39">
      <c r="A39" s="8" t="inlineStr">
        <is>
          <t>Mazda CX-5</t>
        </is>
      </c>
      <c r="B39" s="16" t="inlineStr">
        <is>
          <t>SUV</t>
        </is>
      </c>
      <c r="C39" s="28" t="n">
        <v>20600</v>
      </c>
      <c r="D39" s="28" t="n">
        <v>450</v>
      </c>
      <c r="E39" s="57" t="n">
        <v>65000</v>
      </c>
      <c r="F39" s="58" t="n">
        <v>2021</v>
      </c>
      <c r="G39" s="57" t="n">
        <v>214500</v>
      </c>
      <c r="H39" s="59" t="n">
        <v>26</v>
      </c>
      <c r="I39" s="59" t="n">
        <v>0</v>
      </c>
      <c r="J39" s="60" t="n">
        <v>0.045</v>
      </c>
      <c r="K39" s="28" t="n">
        <v>1680</v>
      </c>
      <c r="L39" s="60" t="n">
        <v>0.022</v>
      </c>
      <c r="M39" s="61">
        <f>G39-E39</f>
        <v/>
      </c>
      <c r="N39" s="29">
        <f>IFERROR((C39-D39)/M39,"")</f>
        <v/>
      </c>
      <c r="O39" s="29">
        <f>IF(H39&gt;0,'Ranking (hardened)'!$D$3/H39,0)+IF(I39&gt;0,(I39/100)*'Ranking (hardened)'!$F$3,0)</f>
        <v/>
      </c>
      <c r="P39" s="29">
        <f>J39*(1+MAX(0,((E39+G39)/2-100000)/100000)*0.5)</f>
        <v/>
      </c>
      <c r="Q39" s="29">
        <f>(K39*0.35+650*0.65)/13000</f>
        <v/>
      </c>
      <c r="R39" s="29">
        <f>55/13000</f>
        <v/>
      </c>
      <c r="S39" s="29">
        <f>9*(2026-F39)/13000</f>
        <v/>
      </c>
      <c r="T39" s="14">
        <f>IFERROR(N39+O39+P39+Q39+R39+S39+L39,"")</f>
        <v/>
      </c>
    </row>
    <row r="40">
      <c r="A40" s="8" t="inlineStr">
        <is>
          <t>Toyota Highlander Hybrid</t>
        </is>
      </c>
      <c r="B40" s="16" t="inlineStr">
        <is>
          <t>SUV AWD</t>
        </is>
      </c>
      <c r="C40" s="28" t="n">
        <v>32000</v>
      </c>
      <c r="D40" s="28" t="n">
        <v>500</v>
      </c>
      <c r="E40" s="57" t="n">
        <v>65000</v>
      </c>
      <c r="F40" s="58" t="n">
        <v>2021</v>
      </c>
      <c r="G40" s="57" t="n">
        <v>244400</v>
      </c>
      <c r="H40" s="59" t="n">
        <v>35</v>
      </c>
      <c r="I40" s="59" t="n">
        <v>0</v>
      </c>
      <c r="J40" s="60" t="n">
        <v>0.045</v>
      </c>
      <c r="K40" s="28" t="n">
        <v>1840</v>
      </c>
      <c r="L40" s="60" t="n">
        <v>0.024</v>
      </c>
      <c r="M40" s="61">
        <f>G40-E40</f>
        <v/>
      </c>
      <c r="N40" s="29">
        <f>IFERROR((C40-D40)/M40,"")</f>
        <v/>
      </c>
      <c r="O40" s="29">
        <f>IF(H40&gt;0,'Ranking (hardened)'!$D$3/H40,0)+IF(I40&gt;0,(I40/100)*'Ranking (hardened)'!$F$3,0)</f>
        <v/>
      </c>
      <c r="P40" s="29">
        <f>J40*(1+MAX(0,((E40+G40)/2-100000)/100000)*0.5)</f>
        <v/>
      </c>
      <c r="Q40" s="29">
        <f>(K40*0.35+650*0.65)/13000</f>
        <v/>
      </c>
      <c r="R40" s="29">
        <f>55/13000</f>
        <v/>
      </c>
      <c r="S40" s="29">
        <f>9*(2026-F40)/13000</f>
        <v/>
      </c>
      <c r="T40" s="14">
        <f>IFERROR(N40+O40+P40+Q40+R40+S40+L40,"")</f>
        <v/>
      </c>
    </row>
    <row r="41">
      <c r="A41" s="8" t="inlineStr">
        <is>
          <t>Subaru Outback</t>
        </is>
      </c>
      <c r="B41" s="16" t="inlineStr">
        <is>
          <t>SUV AWD</t>
        </is>
      </c>
      <c r="C41" s="28" t="n">
        <v>18800</v>
      </c>
      <c r="D41" s="28" t="n">
        <v>500</v>
      </c>
      <c r="E41" s="57" t="n">
        <v>75000</v>
      </c>
      <c r="F41" s="58" t="n">
        <v>2020</v>
      </c>
      <c r="G41" s="57" t="n">
        <v>210600</v>
      </c>
      <c r="H41" s="59" t="n">
        <v>29</v>
      </c>
      <c r="I41" s="59" t="n">
        <v>0</v>
      </c>
      <c r="J41" s="60" t="n">
        <v>0.065</v>
      </c>
      <c r="K41" s="28" t="n">
        <v>1640</v>
      </c>
      <c r="L41" s="60" t="n">
        <v>0.024</v>
      </c>
      <c r="M41" s="61">
        <f>G41-E41</f>
        <v/>
      </c>
      <c r="N41" s="29">
        <f>IFERROR((C41-D41)/M41,"")</f>
        <v/>
      </c>
      <c r="O41" s="29">
        <f>IF(H41&gt;0,'Ranking (hardened)'!$D$3/H41,0)+IF(I41&gt;0,(I41/100)*'Ranking (hardened)'!$F$3,0)</f>
        <v/>
      </c>
      <c r="P41" s="29">
        <f>J41*(1+MAX(0,((E41+G41)/2-100000)/100000)*0.5)</f>
        <v/>
      </c>
      <c r="Q41" s="29">
        <f>(K41*0.35+650*0.65)/13000</f>
        <v/>
      </c>
      <c r="R41" s="29">
        <f>55/13000</f>
        <v/>
      </c>
      <c r="S41" s="29">
        <f>9*(2026-F41)/13000</f>
        <v/>
      </c>
      <c r="T41" s="14">
        <f>IFERROR(N41+O41+P41+Q41+R41+S41+L41,"")</f>
        <v/>
      </c>
    </row>
    <row r="42">
      <c r="A42" s="8" t="inlineStr">
        <is>
          <t>Subaru Forester</t>
        </is>
      </c>
      <c r="B42" s="16" t="inlineStr">
        <is>
          <t>SUV AWD</t>
        </is>
      </c>
      <c r="C42" s="28" t="n">
        <v>22200</v>
      </c>
      <c r="D42" s="28" t="n">
        <v>500</v>
      </c>
      <c r="E42" s="57" t="n">
        <v>55000</v>
      </c>
      <c r="F42" s="58" t="n">
        <v>2022</v>
      </c>
      <c r="G42" s="57" t="n">
        <v>200200</v>
      </c>
      <c r="H42" s="59" t="n">
        <v>29</v>
      </c>
      <c r="I42" s="59" t="n">
        <v>0</v>
      </c>
      <c r="J42" s="60" t="n">
        <v>0.065</v>
      </c>
      <c r="K42" s="28" t="n">
        <v>1680</v>
      </c>
      <c r="L42" s="60" t="n">
        <v>0.024</v>
      </c>
      <c r="M42" s="61">
        <f>G42-E42</f>
        <v/>
      </c>
      <c r="N42" s="29">
        <f>IFERROR((C42-D42)/M42,"")</f>
        <v/>
      </c>
      <c r="O42" s="29">
        <f>IF(H42&gt;0,'Ranking (hardened)'!$D$3/H42,0)+IF(I42&gt;0,(I42/100)*'Ranking (hardened)'!$F$3,0)</f>
        <v/>
      </c>
      <c r="P42" s="29">
        <f>J42*(1+MAX(0,((E42+G42)/2-100000)/100000)*0.5)</f>
        <v/>
      </c>
      <c r="Q42" s="29">
        <f>(K42*0.35+650*0.65)/13000</f>
        <v/>
      </c>
      <c r="R42" s="29">
        <f>55/13000</f>
        <v/>
      </c>
      <c r="S42" s="29">
        <f>9*(2026-F42)/13000</f>
        <v/>
      </c>
      <c r="T42" s="14">
        <f>IFERROR(N42+O42+P42+Q42+R42+S42+L42,"")</f>
        <v/>
      </c>
    </row>
    <row r="43">
      <c r="A43" s="8" t="inlineStr">
        <is>
          <t>Toyota Sienna Hybrid</t>
        </is>
      </c>
      <c r="B43" s="16" t="inlineStr">
        <is>
          <t>Van</t>
        </is>
      </c>
      <c r="C43" s="28" t="n">
        <v>35000</v>
      </c>
      <c r="D43" s="28" t="n">
        <v>500</v>
      </c>
      <c r="E43" s="57" t="n">
        <v>55000</v>
      </c>
      <c r="F43" s="58" t="n">
        <v>2022</v>
      </c>
      <c r="G43" s="57" t="n">
        <v>244400</v>
      </c>
      <c r="H43" s="59" t="n">
        <v>36</v>
      </c>
      <c r="I43" s="59" t="n">
        <v>0</v>
      </c>
      <c r="J43" s="60" t="n">
        <v>0.045</v>
      </c>
      <c r="K43" s="28" t="n">
        <v>1840</v>
      </c>
      <c r="L43" s="60" t="n">
        <v>0.02</v>
      </c>
      <c r="M43" s="61">
        <f>G43-E43</f>
        <v/>
      </c>
      <c r="N43" s="29">
        <f>IFERROR((C43-D43)/M43,"")</f>
        <v/>
      </c>
      <c r="O43" s="29">
        <f>IF(H43&gt;0,'Ranking (hardened)'!$D$3/H43,0)+IF(I43&gt;0,(I43/100)*'Ranking (hardened)'!$F$3,0)</f>
        <v/>
      </c>
      <c r="P43" s="29">
        <f>J43*(1+MAX(0,((E43+G43)/2-100000)/100000)*0.5)</f>
        <v/>
      </c>
      <c r="Q43" s="29">
        <f>(K43*0.35+650*0.65)/13000</f>
        <v/>
      </c>
      <c r="R43" s="29">
        <f>55/13000</f>
        <v/>
      </c>
      <c r="S43" s="29">
        <f>9*(2026-F43)/13000</f>
        <v/>
      </c>
      <c r="T43" s="14">
        <f>IFERROR(N43+O43+P43+Q43+R43+S43+L43,"")</f>
        <v/>
      </c>
    </row>
    <row r="44">
      <c r="A44" s="8" t="inlineStr">
        <is>
          <t>Toyota Tacoma</t>
        </is>
      </c>
      <c r="B44" s="16" t="inlineStr">
        <is>
          <t>Truck</t>
        </is>
      </c>
      <c r="C44" s="28" t="n">
        <v>29333</v>
      </c>
      <c r="D44" s="28" t="n">
        <v>800</v>
      </c>
      <c r="E44" s="57" t="n">
        <v>75000</v>
      </c>
      <c r="F44" s="58" t="n">
        <v>2020</v>
      </c>
      <c r="G44" s="57" t="n">
        <v>289900</v>
      </c>
      <c r="H44" s="59" t="n">
        <v>20</v>
      </c>
      <c r="I44" s="59" t="n">
        <v>0</v>
      </c>
      <c r="J44" s="60" t="n">
        <v>0.045</v>
      </c>
      <c r="K44" s="28" t="n">
        <v>1800</v>
      </c>
      <c r="L44" s="60" t="n">
        <v>0.03</v>
      </c>
      <c r="M44" s="61">
        <f>G44-E44</f>
        <v/>
      </c>
      <c r="N44" s="29">
        <f>IFERROR((C44-D44)/M44,"")</f>
        <v/>
      </c>
      <c r="O44" s="29">
        <f>IF(H44&gt;0,'Ranking (hardened)'!$D$3/H44,0)+IF(I44&gt;0,(I44/100)*'Ranking (hardened)'!$F$3,0)</f>
        <v/>
      </c>
      <c r="P44" s="29">
        <f>J44*(1+MAX(0,((E44+G44)/2-100000)/100000)*0.5)</f>
        <v/>
      </c>
      <c r="Q44" s="29">
        <f>(K44*0.35+650*0.65)/13000</f>
        <v/>
      </c>
      <c r="R44" s="29">
        <f>55/13000</f>
        <v/>
      </c>
      <c r="S44" s="29">
        <f>9*(2026-F44)/13000</f>
        <v/>
      </c>
      <c r="T44" s="14">
        <f>IFERROR(N44+O44+P44+Q44+R44+S44+L44,"")</f>
        <v/>
      </c>
    </row>
    <row r="45">
      <c r="A45" s="8" t="inlineStr">
        <is>
          <t>Nissan Rogue</t>
        </is>
      </c>
      <c r="B45" s="16" t="inlineStr">
        <is>
          <t>SUV</t>
        </is>
      </c>
      <c r="C45" s="28" t="n">
        <v>18800</v>
      </c>
      <c r="D45" s="28" t="n">
        <v>450</v>
      </c>
      <c r="E45" s="57" t="n">
        <v>55000</v>
      </c>
      <c r="F45" s="58" t="n">
        <v>2022</v>
      </c>
      <c r="G45" s="57" t="n">
        <v>170300</v>
      </c>
      <c r="H45" s="59" t="n">
        <v>29</v>
      </c>
      <c r="I45" s="59" t="n">
        <v>0</v>
      </c>
      <c r="J45" s="60" t="n">
        <v>0.08500000000000001</v>
      </c>
      <c r="K45" s="28" t="n">
        <v>1664</v>
      </c>
      <c r="L45" s="60" t="n">
        <v>0.022</v>
      </c>
      <c r="M45" s="61">
        <f>G45-E45</f>
        <v/>
      </c>
      <c r="N45" s="29">
        <f>IFERROR((C45-D45)/M45,"")</f>
        <v/>
      </c>
      <c r="O45" s="29">
        <f>IF(H45&gt;0,'Ranking (hardened)'!$D$3/H45,0)+IF(I45&gt;0,(I45/100)*'Ranking (hardened)'!$F$3,0)</f>
        <v/>
      </c>
      <c r="P45" s="29">
        <f>J45*(1+MAX(0,((E45+G45)/2-100000)/100000)*0.5)</f>
        <v/>
      </c>
      <c r="Q45" s="29">
        <f>(K45*0.35+650*0.65)/13000</f>
        <v/>
      </c>
      <c r="R45" s="29">
        <f>55/13000</f>
        <v/>
      </c>
      <c r="S45" s="29">
        <f>9*(2026-F45)/13000</f>
        <v/>
      </c>
      <c r="T45" s="14">
        <f>IFERROR(N45+O45+P45+Q45+R45+S45+L45,"")</f>
        <v/>
      </c>
    </row>
    <row r="46">
      <c r="A46" s="8" t="inlineStr">
        <is>
          <t>Chevy Equinox</t>
        </is>
      </c>
      <c r="B46" s="16" t="inlineStr">
        <is>
          <t>SUV</t>
        </is>
      </c>
      <c r="C46" s="28" t="n">
        <v>17200</v>
      </c>
      <c r="D46" s="28" t="n">
        <v>450</v>
      </c>
      <c r="E46" s="57" t="n">
        <v>55000</v>
      </c>
      <c r="F46" s="58" t="n">
        <v>2022</v>
      </c>
      <c r="G46" s="57" t="n">
        <v>175500</v>
      </c>
      <c r="H46" s="59" t="n">
        <v>27</v>
      </c>
      <c r="I46" s="59" t="n">
        <v>0</v>
      </c>
      <c r="J46" s="60" t="n">
        <v>0.08500000000000001</v>
      </c>
      <c r="K46" s="28" t="n">
        <v>1720</v>
      </c>
      <c r="L46" s="60" t="n">
        <v>0.022</v>
      </c>
      <c r="M46" s="61">
        <f>G46-E46</f>
        <v/>
      </c>
      <c r="N46" s="29">
        <f>IFERROR((C46-D46)/M46,"")</f>
        <v/>
      </c>
      <c r="O46" s="29">
        <f>IF(H46&gt;0,'Ranking (hardened)'!$D$3/H46,0)+IF(I46&gt;0,(I46/100)*'Ranking (hardened)'!$F$3,0)</f>
        <v/>
      </c>
      <c r="P46" s="29">
        <f>J46*(1+MAX(0,((E46+G46)/2-100000)/100000)*0.5)</f>
        <v/>
      </c>
      <c r="Q46" s="29">
        <f>(K46*0.35+650*0.65)/13000</f>
        <v/>
      </c>
      <c r="R46" s="29">
        <f>55/13000</f>
        <v/>
      </c>
      <c r="S46" s="29">
        <f>9*(2026-F46)/13000</f>
        <v/>
      </c>
      <c r="T46" s="14">
        <f>IFERROR(N46+O46+P46+Q46+R46+S46+L46,"")</f>
        <v/>
      </c>
    </row>
    <row r="47">
      <c r="A47" s="8" t="inlineStr">
        <is>
          <t>Toyota Sienna (V6)</t>
        </is>
      </c>
      <c r="B47" s="16" t="inlineStr">
        <is>
          <t>Van</t>
        </is>
      </c>
      <c r="C47" s="28" t="n">
        <v>22333</v>
      </c>
      <c r="D47" s="28" t="n">
        <v>500</v>
      </c>
      <c r="E47" s="57" t="n">
        <v>65000</v>
      </c>
      <c r="F47" s="58" t="n">
        <v>2020</v>
      </c>
      <c r="G47" s="57" t="n">
        <v>244400</v>
      </c>
      <c r="H47" s="59" t="n">
        <v>19</v>
      </c>
      <c r="I47" s="59" t="n">
        <v>0</v>
      </c>
      <c r="J47" s="60" t="n">
        <v>0.045</v>
      </c>
      <c r="K47" s="28" t="n">
        <v>1720</v>
      </c>
      <c r="L47" s="60" t="n">
        <v>0.02</v>
      </c>
      <c r="M47" s="61">
        <f>G47-E47</f>
        <v/>
      </c>
      <c r="N47" s="29">
        <f>IFERROR((C47-D47)/M47,"")</f>
        <v/>
      </c>
      <c r="O47" s="29">
        <f>IF(H47&gt;0,'Ranking (hardened)'!$D$3/H47,0)+IF(I47&gt;0,(I47/100)*'Ranking (hardened)'!$F$3,0)</f>
        <v/>
      </c>
      <c r="P47" s="29">
        <f>J47*(1+MAX(0,((E47+G47)/2-100000)/100000)*0.5)</f>
        <v/>
      </c>
      <c r="Q47" s="29">
        <f>(K47*0.35+650*0.65)/13000</f>
        <v/>
      </c>
      <c r="R47" s="29">
        <f>55/13000</f>
        <v/>
      </c>
      <c r="S47" s="29">
        <f>9*(2026-F47)/13000</f>
        <v/>
      </c>
      <c r="T47" s="14">
        <f>IFERROR(N47+O47+P47+Q47+R47+S47+L47,"")</f>
        <v/>
      </c>
    </row>
    <row r="48">
      <c r="A48" s="8" t="inlineStr">
        <is>
          <t>Mini Cooper</t>
        </is>
      </c>
      <c r="B48" s="16" t="inlineStr">
        <is>
          <t>Car</t>
        </is>
      </c>
      <c r="C48" s="28" t="n">
        <v>18200</v>
      </c>
      <c r="D48" s="28" t="n">
        <v>400</v>
      </c>
      <c r="E48" s="57" t="n">
        <v>45000</v>
      </c>
      <c r="F48" s="58" t="n">
        <v>2023</v>
      </c>
      <c r="G48" s="57" t="n">
        <v>175500</v>
      </c>
      <c r="H48" s="59" t="n">
        <v>30</v>
      </c>
      <c r="I48" s="59" t="n">
        <v>0</v>
      </c>
      <c r="J48" s="60" t="n">
        <v>0.08500000000000001</v>
      </c>
      <c r="K48" s="28" t="n">
        <v>1720</v>
      </c>
      <c r="L48" s="60" t="n">
        <v>0.018</v>
      </c>
      <c r="M48" s="61">
        <f>G48-E48</f>
        <v/>
      </c>
      <c r="N48" s="29">
        <f>IFERROR((C48-D48)/M48,"")</f>
        <v/>
      </c>
      <c r="O48" s="29">
        <f>IF(H48&gt;0,'Ranking (hardened)'!$D$3/H48,0)+IF(I48&gt;0,(I48/100)*'Ranking (hardened)'!$F$3,0)</f>
        <v/>
      </c>
      <c r="P48" s="29">
        <f>J48*(1+MAX(0,((E48+G48)/2-100000)/100000)*0.5)</f>
        <v/>
      </c>
      <c r="Q48" s="29">
        <f>(K48*0.35+650*0.65)/13000</f>
        <v/>
      </c>
      <c r="R48" s="29">
        <f>55/13000</f>
        <v/>
      </c>
      <c r="S48" s="29">
        <f>9*(2026-F48)/13000</f>
        <v/>
      </c>
      <c r="T48" s="14">
        <f>IFERROR(N48+O48+P48+Q48+R48+S48+L48,"")</f>
        <v/>
      </c>
    </row>
    <row r="49">
      <c r="A49" s="8" t="inlineStr">
        <is>
          <t>Ford Ranger (old compact)</t>
        </is>
      </c>
      <c r="B49" s="16" t="inlineStr">
        <is>
          <t>Truck</t>
        </is>
      </c>
      <c r="C49" s="28" t="n">
        <v>11500</v>
      </c>
      <c r="D49" s="28" t="n">
        <v>800</v>
      </c>
      <c r="E49" s="57" t="n">
        <v>55000</v>
      </c>
      <c r="F49" s="58" t="n">
        <v>2011</v>
      </c>
      <c r="G49" s="57" t="n">
        <v>214500</v>
      </c>
      <c r="H49" s="59" t="n">
        <v>21</v>
      </c>
      <c r="I49" s="59" t="n">
        <v>0</v>
      </c>
      <c r="J49" s="60" t="n">
        <v>0.065</v>
      </c>
      <c r="K49" s="28" t="n">
        <v>1832</v>
      </c>
      <c r="L49" s="60" t="n">
        <v>0.03</v>
      </c>
      <c r="M49" s="61">
        <f>G49-E49</f>
        <v/>
      </c>
      <c r="N49" s="29">
        <f>IFERROR((C49-D49)/M49,"")</f>
        <v/>
      </c>
      <c r="O49" s="29">
        <f>IF(H49&gt;0,'Ranking (hardened)'!$D$3/H49,0)+IF(I49&gt;0,(I49/100)*'Ranking (hardened)'!$F$3,0)</f>
        <v/>
      </c>
      <c r="P49" s="29">
        <f>J49*(1+MAX(0,((E49+G49)/2-100000)/100000)*0.5)</f>
        <v/>
      </c>
      <c r="Q49" s="29">
        <f>(K49*0.35+650*0.65)/13000</f>
        <v/>
      </c>
      <c r="R49" s="29">
        <f>55/13000</f>
        <v/>
      </c>
      <c r="S49" s="29">
        <f>9*(2026-F49)/13000</f>
        <v/>
      </c>
      <c r="T49" s="14">
        <f>IFERROR(N49+O49+P49+Q49+R49+S49+L49,"")</f>
        <v/>
      </c>
    </row>
    <row r="50">
      <c r="A50" s="8" t="inlineStr">
        <is>
          <t>Fiat 500X</t>
        </is>
      </c>
      <c r="B50" s="16" t="inlineStr">
        <is>
          <t>SUV AWD</t>
        </is>
      </c>
      <c r="C50" s="28" t="n">
        <v>14800</v>
      </c>
      <c r="D50" s="28" t="n">
        <v>500</v>
      </c>
      <c r="E50" s="57" t="n">
        <v>40000</v>
      </c>
      <c r="F50" s="58" t="n">
        <v>2023</v>
      </c>
      <c r="G50" s="57" t="n">
        <v>149500</v>
      </c>
      <c r="H50" s="59" t="n">
        <v>26</v>
      </c>
      <c r="I50" s="59" t="n">
        <v>0</v>
      </c>
      <c r="J50" s="60" t="n">
        <v>0.08500000000000001</v>
      </c>
      <c r="K50" s="28" t="n">
        <v>1640</v>
      </c>
      <c r="L50" s="60" t="n">
        <v>0.024</v>
      </c>
      <c r="M50" s="61">
        <f>G50-E50</f>
        <v/>
      </c>
      <c r="N50" s="29">
        <f>IFERROR((C50-D50)/M50,"")</f>
        <v/>
      </c>
      <c r="O50" s="29">
        <f>IF(H50&gt;0,'Ranking (hardened)'!$D$3/H50,0)+IF(I50&gt;0,(I50/100)*'Ranking (hardened)'!$F$3,0)</f>
        <v/>
      </c>
      <c r="P50" s="29">
        <f>J50*(1+MAX(0,((E50+G50)/2-100000)/100000)*0.5)</f>
        <v/>
      </c>
      <c r="Q50" s="29">
        <f>(K50*0.35+650*0.65)/13000</f>
        <v/>
      </c>
      <c r="R50" s="29">
        <f>55/13000</f>
        <v/>
      </c>
      <c r="S50" s="29">
        <f>9*(2026-F50)/13000</f>
        <v/>
      </c>
      <c r="T50" s="14">
        <f>IFERROR(N50+O50+P50+Q50+R50+S50+L50,"")</f>
        <v/>
      </c>
    </row>
    <row r="51">
      <c r="A51" s="8" t="inlineStr">
        <is>
          <t>VW GTI</t>
        </is>
      </c>
      <c r="B51" s="16" t="inlineStr">
        <is>
          <t>Car</t>
        </is>
      </c>
      <c r="C51" s="28" t="n">
        <v>19000</v>
      </c>
      <c r="D51" s="28" t="n">
        <v>400</v>
      </c>
      <c r="E51" s="57" t="n">
        <v>60000</v>
      </c>
      <c r="F51" s="58" t="n">
        <v>2021</v>
      </c>
      <c r="G51" s="57" t="n">
        <v>195000</v>
      </c>
      <c r="H51" s="59" t="n">
        <v>27</v>
      </c>
      <c r="I51" s="59" t="n">
        <v>0</v>
      </c>
      <c r="J51" s="60" t="n">
        <v>0.065</v>
      </c>
      <c r="K51" s="28" t="n">
        <v>1720</v>
      </c>
      <c r="L51" s="60" t="n">
        <v>0.018</v>
      </c>
      <c r="M51" s="61">
        <f>G51-E51</f>
        <v/>
      </c>
      <c r="N51" s="29">
        <f>IFERROR((C51-D51)/M51,"")</f>
        <v/>
      </c>
      <c r="O51" s="29">
        <f>IF(H51&gt;0,'Ranking (hardened)'!$D$3/H51,0)+IF(I51&gt;0,(I51/100)*'Ranking (hardened)'!$F$3,0)</f>
        <v/>
      </c>
      <c r="P51" s="29">
        <f>J51*(1+MAX(0,((E51+G51)/2-100000)/100000)*0.5)</f>
        <v/>
      </c>
      <c r="Q51" s="29">
        <f>(K51*0.35+650*0.65)/13000</f>
        <v/>
      </c>
      <c r="R51" s="29">
        <f>55/13000</f>
        <v/>
      </c>
      <c r="S51" s="29">
        <f>9*(2026-F51)/13000</f>
        <v/>
      </c>
      <c r="T51" s="14">
        <f>IFERROR(N51+O51+P51+Q51+R51+S51+L51,"")</f>
        <v/>
      </c>
    </row>
    <row r="52">
      <c r="A52" s="8" t="inlineStr">
        <is>
          <t>Kia Sportage</t>
        </is>
      </c>
      <c r="B52" s="16" t="inlineStr">
        <is>
          <t>SUV AWD</t>
        </is>
      </c>
      <c r="C52" s="28" t="n">
        <v>15667</v>
      </c>
      <c r="D52" s="28" t="n">
        <v>500</v>
      </c>
      <c r="E52" s="57" t="n">
        <v>75000</v>
      </c>
      <c r="F52" s="58" t="n">
        <v>2020</v>
      </c>
      <c r="G52" s="57" t="n">
        <v>184600</v>
      </c>
      <c r="H52" s="59" t="n">
        <v>26</v>
      </c>
      <c r="I52" s="59" t="n">
        <v>0</v>
      </c>
      <c r="J52" s="60" t="n">
        <v>0.065</v>
      </c>
      <c r="K52" s="28" t="n">
        <v>1680</v>
      </c>
      <c r="L52" s="60" t="n">
        <v>0.024</v>
      </c>
      <c r="M52" s="61">
        <f>G52-E52</f>
        <v/>
      </c>
      <c r="N52" s="29">
        <f>IFERROR((C52-D52)/M52,"")</f>
        <v/>
      </c>
      <c r="O52" s="29">
        <f>IF(H52&gt;0,'Ranking (hardened)'!$D$3/H52,0)+IF(I52&gt;0,(I52/100)*'Ranking (hardened)'!$F$3,0)</f>
        <v/>
      </c>
      <c r="P52" s="29">
        <f>J52*(1+MAX(0,((E52+G52)/2-100000)/100000)*0.5)</f>
        <v/>
      </c>
      <c r="Q52" s="29">
        <f>(K52*0.35+650*0.65)/13000</f>
        <v/>
      </c>
      <c r="R52" s="29">
        <f>55/13000</f>
        <v/>
      </c>
      <c r="S52" s="29">
        <f>9*(2026-F52)/13000</f>
        <v/>
      </c>
      <c r="T52" s="14">
        <f>IFERROR(N52+O52+P52+Q52+R52+S52+L52,"")</f>
        <v/>
      </c>
    </row>
    <row r="53">
      <c r="A53" s="8" t="inlineStr">
        <is>
          <t>Ford Escape</t>
        </is>
      </c>
      <c r="B53" s="16" t="inlineStr">
        <is>
          <t>SUV</t>
        </is>
      </c>
      <c r="C53" s="28" t="n">
        <v>15000</v>
      </c>
      <c r="D53" s="28" t="n">
        <v>450</v>
      </c>
      <c r="E53" s="57" t="n">
        <v>65000</v>
      </c>
      <c r="F53" s="58" t="n">
        <v>2021</v>
      </c>
      <c r="G53" s="57" t="n">
        <v>170300</v>
      </c>
      <c r="H53" s="59" t="n">
        <v>26</v>
      </c>
      <c r="I53" s="59" t="n">
        <v>0</v>
      </c>
      <c r="J53" s="60" t="n">
        <v>0.08500000000000001</v>
      </c>
      <c r="K53" s="28" t="n">
        <v>1720</v>
      </c>
      <c r="L53" s="60" t="n">
        <v>0.022</v>
      </c>
      <c r="M53" s="61">
        <f>G53-E53</f>
        <v/>
      </c>
      <c r="N53" s="29">
        <f>IFERROR((C53-D53)/M53,"")</f>
        <v/>
      </c>
      <c r="O53" s="29">
        <f>IF(H53&gt;0,'Ranking (hardened)'!$D$3/H53,0)+IF(I53&gt;0,(I53/100)*'Ranking (hardened)'!$F$3,0)</f>
        <v/>
      </c>
      <c r="P53" s="29">
        <f>J53*(1+MAX(0,((E53+G53)/2-100000)/100000)*0.5)</f>
        <v/>
      </c>
      <c r="Q53" s="29">
        <f>(K53*0.35+650*0.65)/13000</f>
        <v/>
      </c>
      <c r="R53" s="29">
        <f>55/13000</f>
        <v/>
      </c>
      <c r="S53" s="29">
        <f>9*(2026-F53)/13000</f>
        <v/>
      </c>
      <c r="T53" s="14">
        <f>IFERROR(N53+O53+P53+Q53+R53+S53+L53,"")</f>
        <v/>
      </c>
    </row>
    <row r="54">
      <c r="A54" s="8" t="inlineStr">
        <is>
          <t>Toyota Highlander</t>
        </is>
      </c>
      <c r="B54" s="16" t="inlineStr">
        <is>
          <t>SUV AWD</t>
        </is>
      </c>
      <c r="C54" s="28" t="n">
        <v>25000</v>
      </c>
      <c r="D54" s="28" t="n">
        <v>500</v>
      </c>
      <c r="E54" s="57" t="n">
        <v>85000</v>
      </c>
      <c r="F54" s="58" t="n">
        <v>2019</v>
      </c>
      <c r="G54" s="57" t="n">
        <v>244400</v>
      </c>
      <c r="H54" s="59" t="n">
        <v>23</v>
      </c>
      <c r="I54" s="59" t="n">
        <v>0</v>
      </c>
      <c r="J54" s="60" t="n">
        <v>0.045</v>
      </c>
      <c r="K54" s="28" t="n">
        <v>1760</v>
      </c>
      <c r="L54" s="60" t="n">
        <v>0.024</v>
      </c>
      <c r="M54" s="61">
        <f>G54-E54</f>
        <v/>
      </c>
      <c r="N54" s="29">
        <f>IFERROR((C54-D54)/M54,"")</f>
        <v/>
      </c>
      <c r="O54" s="29">
        <f>IF(H54&gt;0,'Ranking (hardened)'!$D$3/H54,0)+IF(I54&gt;0,(I54/100)*'Ranking (hardened)'!$F$3,0)</f>
        <v/>
      </c>
      <c r="P54" s="29">
        <f>J54*(1+MAX(0,((E54+G54)/2-100000)/100000)*0.5)</f>
        <v/>
      </c>
      <c r="Q54" s="29">
        <f>(K54*0.35+650*0.65)/13000</f>
        <v/>
      </c>
      <c r="R54" s="29">
        <f>55/13000</f>
        <v/>
      </c>
      <c r="S54" s="29">
        <f>9*(2026-F54)/13000</f>
        <v/>
      </c>
      <c r="T54" s="14">
        <f>IFERROR(N54+O54+P54+Q54+R54+S54+L54,"")</f>
        <v/>
      </c>
    </row>
    <row r="55">
      <c r="A55" s="8" t="inlineStr">
        <is>
          <t>Hyundai Tucson</t>
        </is>
      </c>
      <c r="B55" s="16" t="inlineStr">
        <is>
          <t>SUV</t>
        </is>
      </c>
      <c r="C55" s="28" t="n">
        <v>19541</v>
      </c>
      <c r="D55" s="28" t="n">
        <v>450</v>
      </c>
      <c r="E55" s="57" t="n">
        <v>55000</v>
      </c>
      <c r="F55" s="58" t="n">
        <v>2022</v>
      </c>
      <c r="G55" s="57" t="n">
        <v>170300</v>
      </c>
      <c r="H55" s="59" t="n">
        <v>25</v>
      </c>
      <c r="I55" s="59" t="n">
        <v>0</v>
      </c>
      <c r="J55" s="60" t="n">
        <v>0.08500000000000001</v>
      </c>
      <c r="K55" s="28" t="n">
        <v>1680</v>
      </c>
      <c r="L55" s="60" t="n">
        <v>0.022</v>
      </c>
      <c r="M55" s="61">
        <f>G55-E55</f>
        <v/>
      </c>
      <c r="N55" s="29">
        <f>IFERROR((C55-D55)/M55,"")</f>
        <v/>
      </c>
      <c r="O55" s="29">
        <f>IF(H55&gt;0,'Ranking (hardened)'!$D$3/H55,0)+IF(I55&gt;0,(I55/100)*'Ranking (hardened)'!$F$3,0)</f>
        <v/>
      </c>
      <c r="P55" s="29">
        <f>J55*(1+MAX(0,((E55+G55)/2-100000)/100000)*0.5)</f>
        <v/>
      </c>
      <c r="Q55" s="29">
        <f>(K55*0.35+650*0.65)/13000</f>
        <v/>
      </c>
      <c r="R55" s="29">
        <f>55/13000</f>
        <v/>
      </c>
      <c r="S55" s="29">
        <f>9*(2026-F55)/13000</f>
        <v/>
      </c>
      <c r="T55" s="14">
        <f>IFERROR(N55+O55+P55+Q55+R55+S55+L55,"")</f>
        <v/>
      </c>
    </row>
    <row r="56">
      <c r="A56" s="8" t="inlineStr">
        <is>
          <t>Toyota 4Runner</t>
        </is>
      </c>
      <c r="B56" s="16" t="inlineStr">
        <is>
          <t>SUV AWD</t>
        </is>
      </c>
      <c r="C56" s="28" t="n">
        <v>36333</v>
      </c>
      <c r="D56" s="28" t="n">
        <v>500</v>
      </c>
      <c r="E56" s="57" t="n">
        <v>60000</v>
      </c>
      <c r="F56" s="58" t="n">
        <v>2021</v>
      </c>
      <c r="G56" s="57" t="n">
        <v>289900</v>
      </c>
      <c r="H56" s="59" t="n">
        <v>17</v>
      </c>
      <c r="I56" s="59" t="n">
        <v>0</v>
      </c>
      <c r="J56" s="60" t="n">
        <v>0.045</v>
      </c>
      <c r="K56" s="28" t="n">
        <v>1800</v>
      </c>
      <c r="L56" s="60" t="n">
        <v>0.024</v>
      </c>
      <c r="M56" s="61">
        <f>G56-E56</f>
        <v/>
      </c>
      <c r="N56" s="29">
        <f>IFERROR((C56-D56)/M56,"")</f>
        <v/>
      </c>
      <c r="O56" s="29">
        <f>IF(H56&gt;0,'Ranking (hardened)'!$D$3/H56,0)+IF(I56&gt;0,(I56/100)*'Ranking (hardened)'!$F$3,0)</f>
        <v/>
      </c>
      <c r="P56" s="29">
        <f>J56*(1+MAX(0,((E56+G56)/2-100000)/100000)*0.5)</f>
        <v/>
      </c>
      <c r="Q56" s="29">
        <f>(K56*0.35+650*0.65)/13000</f>
        <v/>
      </c>
      <c r="R56" s="29">
        <f>55/13000</f>
        <v/>
      </c>
      <c r="S56" s="29">
        <f>9*(2026-F56)/13000</f>
        <v/>
      </c>
      <c r="T56" s="14">
        <f>IFERROR(N56+O56+P56+Q56+R56+S56+L56,"")</f>
        <v/>
      </c>
    </row>
    <row r="57">
      <c r="A57" s="8" t="inlineStr">
        <is>
          <t>Honda Odyssey</t>
        </is>
      </c>
      <c r="B57" s="16" t="inlineStr">
        <is>
          <t>Van</t>
        </is>
      </c>
      <c r="C57" s="28" t="n">
        <v>20333</v>
      </c>
      <c r="D57" s="28" t="n">
        <v>500</v>
      </c>
      <c r="E57" s="57" t="n">
        <v>80000</v>
      </c>
      <c r="F57" s="58" t="n">
        <v>2020</v>
      </c>
      <c r="G57" s="57" t="n">
        <v>224900</v>
      </c>
      <c r="H57" s="59" t="n">
        <v>22</v>
      </c>
      <c r="I57" s="59" t="n">
        <v>0</v>
      </c>
      <c r="J57" s="60" t="n">
        <v>0.065</v>
      </c>
      <c r="K57" s="28" t="n">
        <v>1680</v>
      </c>
      <c r="L57" s="60" t="n">
        <v>0.02</v>
      </c>
      <c r="M57" s="61">
        <f>G57-E57</f>
        <v/>
      </c>
      <c r="N57" s="29">
        <f>IFERROR((C57-D57)/M57,"")</f>
        <v/>
      </c>
      <c r="O57" s="29">
        <f>IF(H57&gt;0,'Ranking (hardened)'!$D$3/H57,0)+IF(I57&gt;0,(I57/100)*'Ranking (hardened)'!$F$3,0)</f>
        <v/>
      </c>
      <c r="P57" s="29">
        <f>J57*(1+MAX(0,((E57+G57)/2-100000)/100000)*0.5)</f>
        <v/>
      </c>
      <c r="Q57" s="29">
        <f>(K57*0.35+650*0.65)/13000</f>
        <v/>
      </c>
      <c r="R57" s="29">
        <f>55/13000</f>
        <v/>
      </c>
      <c r="S57" s="29">
        <f>9*(2026-F57)/13000</f>
        <v/>
      </c>
      <c r="T57" s="14">
        <f>IFERROR(N57+O57+P57+Q57+R57+S57+L57,"")</f>
        <v/>
      </c>
    </row>
    <row r="58">
      <c r="A58" s="8" t="inlineStr">
        <is>
          <t>Kia Sorento</t>
        </is>
      </c>
      <c r="B58" s="16" t="inlineStr">
        <is>
          <t>SUV AWD</t>
        </is>
      </c>
      <c r="C58" s="28" t="n">
        <v>18333</v>
      </c>
      <c r="D58" s="28" t="n">
        <v>500</v>
      </c>
      <c r="E58" s="57" t="n">
        <v>75000</v>
      </c>
      <c r="F58" s="58" t="n">
        <v>2020</v>
      </c>
      <c r="G58" s="57" t="n">
        <v>200200</v>
      </c>
      <c r="H58" s="59" t="n">
        <v>24</v>
      </c>
      <c r="I58" s="59" t="n">
        <v>0</v>
      </c>
      <c r="J58" s="60" t="n">
        <v>0.065</v>
      </c>
      <c r="K58" s="28" t="n">
        <v>1720</v>
      </c>
      <c r="L58" s="60" t="n">
        <v>0.024</v>
      </c>
      <c r="M58" s="61">
        <f>G58-E58</f>
        <v/>
      </c>
      <c r="N58" s="29">
        <f>IFERROR((C58-D58)/M58,"")</f>
        <v/>
      </c>
      <c r="O58" s="29">
        <f>IF(H58&gt;0,'Ranking (hardened)'!$D$3/H58,0)+IF(I58&gt;0,(I58/100)*'Ranking (hardened)'!$F$3,0)</f>
        <v/>
      </c>
      <c r="P58" s="29">
        <f>J58*(1+MAX(0,((E58+G58)/2-100000)/100000)*0.5)</f>
        <v/>
      </c>
      <c r="Q58" s="29">
        <f>(K58*0.35+650*0.65)/13000</f>
        <v/>
      </c>
      <c r="R58" s="29">
        <f>55/13000</f>
        <v/>
      </c>
      <c r="S58" s="29">
        <f>9*(2026-F58)/13000</f>
        <v/>
      </c>
      <c r="T58" s="14">
        <f>IFERROR(N58+O58+P58+Q58+R58+S58+L58,"")</f>
        <v/>
      </c>
    </row>
    <row r="59">
      <c r="A59" s="8" t="inlineStr">
        <is>
          <t>Hyundai Santa Fe</t>
        </is>
      </c>
      <c r="B59" s="16" t="inlineStr">
        <is>
          <t>SUV AWD</t>
        </is>
      </c>
      <c r="C59" s="28" t="n">
        <v>16667</v>
      </c>
      <c r="D59" s="28" t="n">
        <v>500</v>
      </c>
      <c r="E59" s="57" t="n">
        <v>80000</v>
      </c>
      <c r="F59" s="58" t="n">
        <v>2020</v>
      </c>
      <c r="G59" s="57" t="n">
        <v>189800</v>
      </c>
      <c r="H59" s="59" t="n">
        <v>25</v>
      </c>
      <c r="I59" s="59" t="n">
        <v>0</v>
      </c>
      <c r="J59" s="60" t="n">
        <v>0.065</v>
      </c>
      <c r="K59" s="28" t="n">
        <v>1720</v>
      </c>
      <c r="L59" s="60" t="n">
        <v>0.024</v>
      </c>
      <c r="M59" s="61">
        <f>G59-E59</f>
        <v/>
      </c>
      <c r="N59" s="29">
        <f>IFERROR((C59-D59)/M59,"")</f>
        <v/>
      </c>
      <c r="O59" s="29">
        <f>IF(H59&gt;0,'Ranking (hardened)'!$D$3/H59,0)+IF(I59&gt;0,(I59/100)*'Ranking (hardened)'!$F$3,0)</f>
        <v/>
      </c>
      <c r="P59" s="29">
        <f>J59*(1+MAX(0,((E59+G59)/2-100000)/100000)*0.5)</f>
        <v/>
      </c>
      <c r="Q59" s="29">
        <f>(K59*0.35+650*0.65)/13000</f>
        <v/>
      </c>
      <c r="R59" s="29">
        <f>55/13000</f>
        <v/>
      </c>
      <c r="S59" s="29">
        <f>9*(2026-F59)/13000</f>
        <v/>
      </c>
      <c r="T59" s="14">
        <f>IFERROR(N59+O59+P59+Q59+R59+S59+L59,"")</f>
        <v/>
      </c>
    </row>
    <row r="60">
      <c r="A60" s="8" t="inlineStr">
        <is>
          <t>VW Tiguan</t>
        </is>
      </c>
      <c r="B60" s="16" t="inlineStr">
        <is>
          <t>SUV AWD</t>
        </is>
      </c>
      <c r="C60" s="28" t="n">
        <v>16800</v>
      </c>
      <c r="D60" s="28" t="n">
        <v>500</v>
      </c>
      <c r="E60" s="57" t="n">
        <v>60000</v>
      </c>
      <c r="F60" s="58" t="n">
        <v>2021</v>
      </c>
      <c r="G60" s="57" t="n">
        <v>184600</v>
      </c>
      <c r="H60" s="59" t="n">
        <v>24</v>
      </c>
      <c r="I60" s="59" t="n">
        <v>0</v>
      </c>
      <c r="J60" s="60" t="n">
        <v>0.065</v>
      </c>
      <c r="K60" s="28" t="n">
        <v>1680</v>
      </c>
      <c r="L60" s="60" t="n">
        <v>0.024</v>
      </c>
      <c r="M60" s="61">
        <f>G60-E60</f>
        <v/>
      </c>
      <c r="N60" s="29">
        <f>IFERROR((C60-D60)/M60,"")</f>
        <v/>
      </c>
      <c r="O60" s="29">
        <f>IF(H60&gt;0,'Ranking (hardened)'!$D$3/H60,0)+IF(I60&gt;0,(I60/100)*'Ranking (hardened)'!$F$3,0)</f>
        <v/>
      </c>
      <c r="P60" s="29">
        <f>J60*(1+MAX(0,((E60+G60)/2-100000)/100000)*0.5)</f>
        <v/>
      </c>
      <c r="Q60" s="29">
        <f>(K60*0.35+650*0.65)/13000</f>
        <v/>
      </c>
      <c r="R60" s="29">
        <f>55/13000</f>
        <v/>
      </c>
      <c r="S60" s="29">
        <f>9*(2026-F60)/13000</f>
        <v/>
      </c>
      <c r="T60" s="14">
        <f>IFERROR(N60+O60+P60+Q60+R60+S60+L60,"")</f>
        <v/>
      </c>
    </row>
    <row r="61">
      <c r="A61" s="8" t="inlineStr">
        <is>
          <t>Chrysler Pacifica PHEV</t>
        </is>
      </c>
      <c r="B61" s="16" t="inlineStr">
        <is>
          <t>Van</t>
        </is>
      </c>
      <c r="C61" s="28" t="n">
        <v>22000</v>
      </c>
      <c r="D61" s="28" t="n">
        <v>500</v>
      </c>
      <c r="E61" s="57" t="n">
        <v>65000</v>
      </c>
      <c r="F61" s="58" t="n">
        <v>2021</v>
      </c>
      <c r="G61" s="57" t="n">
        <v>175500</v>
      </c>
      <c r="H61" s="59" t="n">
        <v>54.5</v>
      </c>
      <c r="I61" s="59" t="n">
        <v>18.9</v>
      </c>
      <c r="J61" s="60" t="n">
        <v>0.08500000000000001</v>
      </c>
      <c r="K61" s="28" t="n">
        <v>1760</v>
      </c>
      <c r="L61" s="60" t="n">
        <v>0.02</v>
      </c>
      <c r="M61" s="61">
        <f>G61-E61</f>
        <v/>
      </c>
      <c r="N61" s="29">
        <f>IFERROR((C61-D61)/M61,"")</f>
        <v/>
      </c>
      <c r="O61" s="29">
        <f>IF(H61&gt;0,'Ranking (hardened)'!$D$3/H61,0)+IF(I61&gt;0,(I61/100)*'Ranking (hardened)'!$F$3,0)</f>
        <v/>
      </c>
      <c r="P61" s="29">
        <f>J61*(1+MAX(0,((E61+G61)/2-100000)/100000)*0.5)</f>
        <v/>
      </c>
      <c r="Q61" s="29">
        <f>(K61*0.35+650*0.65)/13000</f>
        <v/>
      </c>
      <c r="R61" s="29">
        <f>55/13000</f>
        <v/>
      </c>
      <c r="S61" s="29">
        <f>9*(2026-F61)/13000</f>
        <v/>
      </c>
      <c r="T61" s="14">
        <f>IFERROR(N61+O61+P61+Q61+R61+S61+L61,"")</f>
        <v/>
      </c>
    </row>
    <row r="62">
      <c r="A62" s="8" t="inlineStr">
        <is>
          <t>Subaru Ascent</t>
        </is>
      </c>
      <c r="B62" s="16" t="inlineStr">
        <is>
          <t>SUV AWD</t>
        </is>
      </c>
      <c r="C62" s="28" t="n">
        <v>23400</v>
      </c>
      <c r="D62" s="28" t="n">
        <v>500</v>
      </c>
      <c r="E62" s="57" t="n">
        <v>55000</v>
      </c>
      <c r="F62" s="58" t="n">
        <v>2022</v>
      </c>
      <c r="G62" s="57" t="n">
        <v>184600</v>
      </c>
      <c r="H62" s="59" t="n">
        <v>22</v>
      </c>
      <c r="I62" s="59" t="n">
        <v>0</v>
      </c>
      <c r="J62" s="60" t="n">
        <v>0.065</v>
      </c>
      <c r="K62" s="28" t="n">
        <v>1680</v>
      </c>
      <c r="L62" s="60" t="n">
        <v>0.024</v>
      </c>
      <c r="M62" s="61">
        <f>G62-E62</f>
        <v/>
      </c>
      <c r="N62" s="29">
        <f>IFERROR((C62-D62)/M62,"")</f>
        <v/>
      </c>
      <c r="O62" s="29">
        <f>IF(H62&gt;0,'Ranking (hardened)'!$D$3/H62,0)+IF(I62&gt;0,(I62/100)*'Ranking (hardened)'!$F$3,0)</f>
        <v/>
      </c>
      <c r="P62" s="29">
        <f>J62*(1+MAX(0,((E62+G62)/2-100000)/100000)*0.5)</f>
        <v/>
      </c>
      <c r="Q62" s="29">
        <f>(K62*0.35+650*0.65)/13000</f>
        <v/>
      </c>
      <c r="R62" s="29">
        <f>55/13000</f>
        <v/>
      </c>
      <c r="S62" s="29">
        <f>9*(2026-F62)/13000</f>
        <v/>
      </c>
      <c r="T62" s="14">
        <f>IFERROR(N62+O62+P62+Q62+R62+S62+L62,"")</f>
        <v/>
      </c>
    </row>
    <row r="63">
      <c r="A63" s="8" t="inlineStr">
        <is>
          <t>Ford Ranger (2019+ midsize)</t>
        </is>
      </c>
      <c r="B63" s="16" t="inlineStr">
        <is>
          <t>Truck</t>
        </is>
      </c>
      <c r="C63" s="28" t="n">
        <v>23000</v>
      </c>
      <c r="D63" s="28" t="n">
        <v>800</v>
      </c>
      <c r="E63" s="57" t="n">
        <v>55000</v>
      </c>
      <c r="F63" s="58" t="n">
        <v>2022</v>
      </c>
      <c r="G63" s="57" t="n">
        <v>200200</v>
      </c>
      <c r="H63" s="59" t="n">
        <v>21</v>
      </c>
      <c r="I63" s="59" t="n">
        <v>0</v>
      </c>
      <c r="J63" s="60" t="n">
        <v>0.065</v>
      </c>
      <c r="K63" s="28" t="n">
        <v>1832</v>
      </c>
      <c r="L63" s="60" t="n">
        <v>0.03</v>
      </c>
      <c r="M63" s="61">
        <f>G63-E63</f>
        <v/>
      </c>
      <c r="N63" s="29">
        <f>IFERROR((C63-D63)/M63,"")</f>
        <v/>
      </c>
      <c r="O63" s="29">
        <f>IF(H63&gt;0,'Ranking (hardened)'!$D$3/H63,0)+IF(I63&gt;0,(I63/100)*'Ranking (hardened)'!$F$3,0)</f>
        <v/>
      </c>
      <c r="P63" s="29">
        <f>J63*(1+MAX(0,((E63+G63)/2-100000)/100000)*0.5)</f>
        <v/>
      </c>
      <c r="Q63" s="29">
        <f>(K63*0.35+650*0.65)/13000</f>
        <v/>
      </c>
      <c r="R63" s="29">
        <f>55/13000</f>
        <v/>
      </c>
      <c r="S63" s="29">
        <f>9*(2026-F63)/13000</f>
        <v/>
      </c>
      <c r="T63" s="14">
        <f>IFERROR(N63+O63+P63+Q63+R63+S63+L63,"")</f>
        <v/>
      </c>
    </row>
    <row r="64">
      <c r="A64" s="8" t="inlineStr">
        <is>
          <t>Honda Pilot</t>
        </is>
      </c>
      <c r="B64" s="16" t="inlineStr">
        <is>
          <t>SUV AWD</t>
        </is>
      </c>
      <c r="C64" s="28" t="n">
        <v>22500</v>
      </c>
      <c r="D64" s="28" t="n">
        <v>500</v>
      </c>
      <c r="E64" s="57" t="n">
        <v>85000</v>
      </c>
      <c r="F64" s="58" t="n">
        <v>2019</v>
      </c>
      <c r="G64" s="57" t="n">
        <v>224900</v>
      </c>
      <c r="H64" s="59" t="n">
        <v>20</v>
      </c>
      <c r="I64" s="59" t="n">
        <v>0</v>
      </c>
      <c r="J64" s="60" t="n">
        <v>0.045</v>
      </c>
      <c r="K64" s="28" t="n">
        <v>1680</v>
      </c>
      <c r="L64" s="60" t="n">
        <v>0.024</v>
      </c>
      <c r="M64" s="61">
        <f>G64-E64</f>
        <v/>
      </c>
      <c r="N64" s="29">
        <f>IFERROR((C64-D64)/M64,"")</f>
        <v/>
      </c>
      <c r="O64" s="29">
        <f>IF(H64&gt;0,'Ranking (hardened)'!$D$3/H64,0)+IF(I64&gt;0,(I64/100)*'Ranking (hardened)'!$F$3,0)</f>
        <v/>
      </c>
      <c r="P64" s="29">
        <f>J64*(1+MAX(0,((E64+G64)/2-100000)/100000)*0.5)</f>
        <v/>
      </c>
      <c r="Q64" s="29">
        <f>(K64*0.35+650*0.65)/13000</f>
        <v/>
      </c>
      <c r="R64" s="29">
        <f>55/13000</f>
        <v/>
      </c>
      <c r="S64" s="29">
        <f>9*(2026-F64)/13000</f>
        <v/>
      </c>
      <c r="T64" s="14">
        <f>IFERROR(N64+O64+P64+Q64+R64+S64+L64,"")</f>
        <v/>
      </c>
    </row>
    <row r="65">
      <c r="A65" s="8" t="inlineStr">
        <is>
          <t>Mini Countryman</t>
        </is>
      </c>
      <c r="B65" s="16" t="inlineStr">
        <is>
          <t>SUV AWD</t>
        </is>
      </c>
      <c r="C65" s="28" t="n">
        <v>19000</v>
      </c>
      <c r="D65" s="28" t="n">
        <v>500</v>
      </c>
      <c r="E65" s="57" t="n">
        <v>55000</v>
      </c>
      <c r="F65" s="58" t="n">
        <v>2022</v>
      </c>
      <c r="G65" s="57" t="n">
        <v>175500</v>
      </c>
      <c r="H65" s="59" t="n">
        <v>26</v>
      </c>
      <c r="I65" s="59" t="n">
        <v>0</v>
      </c>
      <c r="J65" s="60" t="n">
        <v>0.08500000000000001</v>
      </c>
      <c r="K65" s="28" t="n">
        <v>1760</v>
      </c>
      <c r="L65" s="60" t="n">
        <v>0.024</v>
      </c>
      <c r="M65" s="61">
        <f>G65-E65</f>
        <v/>
      </c>
      <c r="N65" s="29">
        <f>IFERROR((C65-D65)/M65,"")</f>
        <v/>
      </c>
      <c r="O65" s="29">
        <f>IF(H65&gt;0,'Ranking (hardened)'!$D$3/H65,0)+IF(I65&gt;0,(I65/100)*'Ranking (hardened)'!$F$3,0)</f>
        <v/>
      </c>
      <c r="P65" s="29">
        <f>J65*(1+MAX(0,((E65+G65)/2-100000)/100000)*0.5)</f>
        <v/>
      </c>
      <c r="Q65" s="29">
        <f>(K65*0.35+650*0.65)/13000</f>
        <v/>
      </c>
      <c r="R65" s="29">
        <f>55/13000</f>
        <v/>
      </c>
      <c r="S65" s="29">
        <f>9*(2026-F65)/13000</f>
        <v/>
      </c>
      <c r="T65" s="14">
        <f>IFERROR(N65+O65+P65+Q65+R65+S65+L65,"")</f>
        <v/>
      </c>
    </row>
    <row r="66">
      <c r="A66" s="8" t="inlineStr">
        <is>
          <t>Toyota Sequoia</t>
        </is>
      </c>
      <c r="B66" s="16" t="inlineStr">
        <is>
          <t>SUV AWD</t>
        </is>
      </c>
      <c r="C66" s="28" t="n">
        <v>32250</v>
      </c>
      <c r="D66" s="28" t="n">
        <v>500</v>
      </c>
      <c r="E66" s="57" t="n">
        <v>80000</v>
      </c>
      <c r="F66" s="58" t="n">
        <v>2020</v>
      </c>
      <c r="G66" s="57" t="n">
        <v>300300</v>
      </c>
      <c r="H66" s="59" t="n">
        <v>15</v>
      </c>
      <c r="I66" s="59" t="n">
        <v>0</v>
      </c>
      <c r="J66" s="60" t="n">
        <v>0.045</v>
      </c>
      <c r="K66" s="28" t="n">
        <v>1960</v>
      </c>
      <c r="L66" s="60" t="n">
        <v>0.024</v>
      </c>
      <c r="M66" s="61">
        <f>G66-E66</f>
        <v/>
      </c>
      <c r="N66" s="29">
        <f>IFERROR((C66-D66)/M66,"")</f>
        <v/>
      </c>
      <c r="O66" s="29">
        <f>IF(H66&gt;0,'Ranking (hardened)'!$D$3/H66,0)+IF(I66&gt;0,(I66/100)*'Ranking (hardened)'!$F$3,0)</f>
        <v/>
      </c>
      <c r="P66" s="29">
        <f>J66*(1+MAX(0,((E66+G66)/2-100000)/100000)*0.5)</f>
        <v/>
      </c>
      <c r="Q66" s="29">
        <f>(K66*0.35+650*0.65)/13000</f>
        <v/>
      </c>
      <c r="R66" s="29">
        <f>55/13000</f>
        <v/>
      </c>
      <c r="S66" s="29">
        <f>9*(2026-F66)/13000</f>
        <v/>
      </c>
      <c r="T66" s="14">
        <f>IFERROR(N66+O66+P66+Q66+R66+S66+L66,"")</f>
        <v/>
      </c>
    </row>
    <row r="67">
      <c r="A67" s="8" t="inlineStr">
        <is>
          <t>Hyundai Palisade</t>
        </is>
      </c>
      <c r="B67" s="16" t="inlineStr">
        <is>
          <t>SUV AWD</t>
        </is>
      </c>
      <c r="C67" s="28" t="n">
        <v>31000</v>
      </c>
      <c r="D67" s="28" t="n">
        <v>500</v>
      </c>
      <c r="E67" s="57" t="n">
        <v>45000</v>
      </c>
      <c r="F67" s="58" t="n">
        <v>2023</v>
      </c>
      <c r="G67" s="57" t="n">
        <v>200200</v>
      </c>
      <c r="H67" s="59" t="n">
        <v>21</v>
      </c>
      <c r="I67" s="59" t="n">
        <v>0</v>
      </c>
      <c r="J67" s="60" t="n">
        <v>0.065</v>
      </c>
      <c r="K67" s="28" t="n">
        <v>1720</v>
      </c>
      <c r="L67" s="60" t="n">
        <v>0.024</v>
      </c>
      <c r="M67" s="61">
        <f>G67-E67</f>
        <v/>
      </c>
      <c r="N67" s="29">
        <f>IFERROR((C67-D67)/M67,"")</f>
        <v/>
      </c>
      <c r="O67" s="29">
        <f>IF(H67&gt;0,'Ranking (hardened)'!$D$3/H67,0)+IF(I67&gt;0,(I67/100)*'Ranking (hardened)'!$F$3,0)</f>
        <v/>
      </c>
      <c r="P67" s="29">
        <f>J67*(1+MAX(0,((E67+G67)/2-100000)/100000)*0.5)</f>
        <v/>
      </c>
      <c r="Q67" s="29">
        <f>(K67*0.35+650*0.65)/13000</f>
        <v/>
      </c>
      <c r="R67" s="29">
        <f>55/13000</f>
        <v/>
      </c>
      <c r="S67" s="29">
        <f>9*(2026-F67)/13000</f>
        <v/>
      </c>
      <c r="T67" s="14">
        <f>IFERROR(N67+O67+P67+Q67+R67+S67+L67,"")</f>
        <v/>
      </c>
    </row>
    <row r="68">
      <c r="A68" s="8" t="inlineStr">
        <is>
          <t>Chrysler Pacifica</t>
        </is>
      </c>
      <c r="B68" s="16" t="inlineStr">
        <is>
          <t>Van</t>
        </is>
      </c>
      <c r="C68" s="28" t="n">
        <v>16333</v>
      </c>
      <c r="D68" s="28" t="n">
        <v>500</v>
      </c>
      <c r="E68" s="57" t="n">
        <v>75000</v>
      </c>
      <c r="F68" s="58" t="n">
        <v>2020</v>
      </c>
      <c r="G68" s="57" t="n">
        <v>175500</v>
      </c>
      <c r="H68" s="59" t="n">
        <v>22</v>
      </c>
      <c r="I68" s="59" t="n">
        <v>0</v>
      </c>
      <c r="J68" s="60" t="n">
        <v>0.08500000000000001</v>
      </c>
      <c r="K68" s="28" t="n">
        <v>1680</v>
      </c>
      <c r="L68" s="60" t="n">
        <v>0.02</v>
      </c>
      <c r="M68" s="61">
        <f>G68-E68</f>
        <v/>
      </c>
      <c r="N68" s="29">
        <f>IFERROR((C68-D68)/M68,"")</f>
        <v/>
      </c>
      <c r="O68" s="29">
        <f>IF(H68&gt;0,'Ranking (hardened)'!$D$3/H68,0)+IF(I68&gt;0,(I68/100)*'Ranking (hardened)'!$F$3,0)</f>
        <v/>
      </c>
      <c r="P68" s="29">
        <f>J68*(1+MAX(0,((E68+G68)/2-100000)/100000)*0.5)</f>
        <v/>
      </c>
      <c r="Q68" s="29">
        <f>(K68*0.35+650*0.65)/13000</f>
        <v/>
      </c>
      <c r="R68" s="29">
        <f>55/13000</f>
        <v/>
      </c>
      <c r="S68" s="29">
        <f>9*(2026-F68)/13000</f>
        <v/>
      </c>
      <c r="T68" s="14">
        <f>IFERROR(N68+O68+P68+Q68+R68+S68+L68,"")</f>
        <v/>
      </c>
    </row>
    <row r="69">
      <c r="A69" s="8" t="inlineStr">
        <is>
          <t>Chevy Colorado</t>
        </is>
      </c>
      <c r="B69" s="16" t="inlineStr">
        <is>
          <t>Truck</t>
        </is>
      </c>
      <c r="C69" s="28" t="n">
        <v>23500</v>
      </c>
      <c r="D69" s="28" t="n">
        <v>800</v>
      </c>
      <c r="E69" s="57" t="n">
        <v>60000</v>
      </c>
      <c r="F69" s="58" t="n">
        <v>2021</v>
      </c>
      <c r="G69" s="57" t="n">
        <v>205400</v>
      </c>
      <c r="H69" s="59" t="n">
        <v>19</v>
      </c>
      <c r="I69" s="59" t="n">
        <v>0</v>
      </c>
      <c r="J69" s="60" t="n">
        <v>0.065</v>
      </c>
      <c r="K69" s="28" t="n">
        <v>1720</v>
      </c>
      <c r="L69" s="60" t="n">
        <v>0.03</v>
      </c>
      <c r="M69" s="61">
        <f>G69-E69</f>
        <v/>
      </c>
      <c r="N69" s="29">
        <f>IFERROR((C69-D69)/M69,"")</f>
        <v/>
      </c>
      <c r="O69" s="29">
        <f>IF(H69&gt;0,'Ranking (hardened)'!$D$3/H69,0)+IF(I69&gt;0,(I69/100)*'Ranking (hardened)'!$F$3,0)</f>
        <v/>
      </c>
      <c r="P69" s="29">
        <f>J69*(1+MAX(0,((E69+G69)/2-100000)/100000)*0.5)</f>
        <v/>
      </c>
      <c r="Q69" s="29">
        <f>(K69*0.35+650*0.65)/13000</f>
        <v/>
      </c>
      <c r="R69" s="29">
        <f>55/13000</f>
        <v/>
      </c>
      <c r="S69" s="29">
        <f>9*(2026-F69)/13000</f>
        <v/>
      </c>
      <c r="T69" s="14">
        <f>IFERROR(N69+O69+P69+Q69+R69+S69+L69,"")</f>
        <v/>
      </c>
    </row>
    <row r="70">
      <c r="A70" s="8" t="inlineStr">
        <is>
          <t>Kia Telluride</t>
        </is>
      </c>
      <c r="B70" s="16" t="inlineStr">
        <is>
          <t>SUV AWD</t>
        </is>
      </c>
      <c r="C70" s="28" t="n">
        <v>33000</v>
      </c>
      <c r="D70" s="28" t="n">
        <v>500</v>
      </c>
      <c r="E70" s="57" t="n">
        <v>45000</v>
      </c>
      <c r="F70" s="58" t="n">
        <v>2023</v>
      </c>
      <c r="G70" s="57" t="n">
        <v>200200</v>
      </c>
      <c r="H70" s="59" t="n">
        <v>21</v>
      </c>
      <c r="I70" s="59" t="n">
        <v>0</v>
      </c>
      <c r="J70" s="60" t="n">
        <v>0.065</v>
      </c>
      <c r="K70" s="28" t="n">
        <v>1720</v>
      </c>
      <c r="L70" s="60" t="n">
        <v>0.024</v>
      </c>
      <c r="M70" s="61">
        <f>G70-E70</f>
        <v/>
      </c>
      <c r="N70" s="29">
        <f>IFERROR((C70-D70)/M70,"")</f>
        <v/>
      </c>
      <c r="O70" s="29">
        <f>IF(H70&gt;0,'Ranking (hardened)'!$D$3/H70,0)+IF(I70&gt;0,(I70/100)*'Ranking (hardened)'!$F$3,0)</f>
        <v/>
      </c>
      <c r="P70" s="29">
        <f>J70*(1+MAX(0,((E70+G70)/2-100000)/100000)*0.5)</f>
        <v/>
      </c>
      <c r="Q70" s="29">
        <f>(K70*0.35+650*0.65)/13000</f>
        <v/>
      </c>
      <c r="R70" s="29">
        <f>55/13000</f>
        <v/>
      </c>
      <c r="S70" s="29">
        <f>9*(2026-F70)/13000</f>
        <v/>
      </c>
      <c r="T70" s="14">
        <f>IFERROR(N70+O70+P70+Q70+R70+S70+L70,"")</f>
        <v/>
      </c>
    </row>
    <row r="71">
      <c r="A71" s="8" t="inlineStr">
        <is>
          <t>Mazda CX-90</t>
        </is>
      </c>
      <c r="B71" s="16" t="inlineStr">
        <is>
          <t>SUV AWD</t>
        </is>
      </c>
      <c r="C71" s="28" t="n">
        <v>38750</v>
      </c>
      <c r="D71" s="28" t="n">
        <v>500</v>
      </c>
      <c r="E71" s="57" t="n">
        <v>30000</v>
      </c>
      <c r="F71" s="58" t="n">
        <v>2024</v>
      </c>
      <c r="G71" s="57" t="n">
        <v>200200</v>
      </c>
      <c r="H71" s="59" t="n">
        <v>24</v>
      </c>
      <c r="I71" s="59" t="n">
        <v>0</v>
      </c>
      <c r="J71" s="60" t="n">
        <v>0.065</v>
      </c>
      <c r="K71" s="28" t="n">
        <v>1720</v>
      </c>
      <c r="L71" s="60" t="n">
        <v>0.024</v>
      </c>
      <c r="M71" s="61">
        <f>G71-E71</f>
        <v/>
      </c>
      <c r="N71" s="29">
        <f>IFERROR((C71-D71)/M71,"")</f>
        <v/>
      </c>
      <c r="O71" s="29">
        <f>IF(H71&gt;0,'Ranking (hardened)'!$D$3/H71,0)+IF(I71&gt;0,(I71/100)*'Ranking (hardened)'!$F$3,0)</f>
        <v/>
      </c>
      <c r="P71" s="29">
        <f>J71*(1+MAX(0,((E71+G71)/2-100000)/100000)*0.5)</f>
        <v/>
      </c>
      <c r="Q71" s="29">
        <f>(K71*0.35+650*0.65)/13000</f>
        <v/>
      </c>
      <c r="R71" s="29">
        <f>55/13000</f>
        <v/>
      </c>
      <c r="S71" s="29">
        <f>9*(2026-F71)/13000</f>
        <v/>
      </c>
      <c r="T71" s="14">
        <f>IFERROR(N71+O71+P71+Q71+R71+S71+L71,"")</f>
        <v/>
      </c>
    </row>
    <row r="72">
      <c r="A72" s="8" t="inlineStr">
        <is>
          <t>Chevy Traverse</t>
        </is>
      </c>
      <c r="B72" s="16" t="inlineStr">
        <is>
          <t>SUV AWD</t>
        </is>
      </c>
      <c r="C72" s="28" t="n">
        <v>20000</v>
      </c>
      <c r="D72" s="28" t="n">
        <v>500</v>
      </c>
      <c r="E72" s="57" t="n">
        <v>70000</v>
      </c>
      <c r="F72" s="58" t="n">
        <v>2021</v>
      </c>
      <c r="G72" s="57" t="n">
        <v>184600</v>
      </c>
      <c r="H72" s="59" t="n">
        <v>21</v>
      </c>
      <c r="I72" s="59" t="n">
        <v>0</v>
      </c>
      <c r="J72" s="60" t="n">
        <v>0.08500000000000001</v>
      </c>
      <c r="K72" s="28" t="n">
        <v>1680</v>
      </c>
      <c r="L72" s="60" t="n">
        <v>0.024</v>
      </c>
      <c r="M72" s="61">
        <f>G72-E72</f>
        <v/>
      </c>
      <c r="N72" s="29">
        <f>IFERROR((C72-D72)/M72,"")</f>
        <v/>
      </c>
      <c r="O72" s="29">
        <f>IF(H72&gt;0,'Ranking (hardened)'!$D$3/H72,0)+IF(I72&gt;0,(I72/100)*'Ranking (hardened)'!$F$3,0)</f>
        <v/>
      </c>
      <c r="P72" s="29">
        <f>J72*(1+MAX(0,((E72+G72)/2-100000)/100000)*0.5)</f>
        <v/>
      </c>
      <c r="Q72" s="29">
        <f>(K72*0.35+650*0.65)/13000</f>
        <v/>
      </c>
      <c r="R72" s="29">
        <f>55/13000</f>
        <v/>
      </c>
      <c r="S72" s="29">
        <f>9*(2026-F72)/13000</f>
        <v/>
      </c>
      <c r="T72" s="14">
        <f>IFERROR(N72+O72+P72+Q72+R72+S72+L72,"")</f>
        <v/>
      </c>
    </row>
    <row r="73">
      <c r="A73" s="8" t="inlineStr">
        <is>
          <t>VW Atlas</t>
        </is>
      </c>
      <c r="B73" s="16" t="inlineStr">
        <is>
          <t>SUV AWD</t>
        </is>
      </c>
      <c r="C73" s="28" t="n">
        <v>21000</v>
      </c>
      <c r="D73" s="28" t="n">
        <v>500</v>
      </c>
      <c r="E73" s="57" t="n">
        <v>65000</v>
      </c>
      <c r="F73" s="58" t="n">
        <v>2021</v>
      </c>
      <c r="G73" s="57" t="n">
        <v>189800</v>
      </c>
      <c r="H73" s="59" t="n">
        <v>21</v>
      </c>
      <c r="I73" s="59" t="n">
        <v>0</v>
      </c>
      <c r="J73" s="60" t="n">
        <v>0.065</v>
      </c>
      <c r="K73" s="28" t="n">
        <v>1760</v>
      </c>
      <c r="L73" s="60" t="n">
        <v>0.024</v>
      </c>
      <c r="M73" s="61">
        <f>G73-E73</f>
        <v/>
      </c>
      <c r="N73" s="29">
        <f>IFERROR((C73-D73)/M73,"")</f>
        <v/>
      </c>
      <c r="O73" s="29">
        <f>IF(H73&gt;0,'Ranking (hardened)'!$D$3/H73,0)+IF(I73&gt;0,(I73/100)*'Ranking (hardened)'!$F$3,0)</f>
        <v/>
      </c>
      <c r="P73" s="29">
        <f>J73*(1+MAX(0,((E73+G73)/2-100000)/100000)*0.5)</f>
        <v/>
      </c>
      <c r="Q73" s="29">
        <f>(K73*0.35+650*0.65)/13000</f>
        <v/>
      </c>
      <c r="R73" s="29">
        <f>55/13000</f>
        <v/>
      </c>
      <c r="S73" s="29">
        <f>9*(2026-F73)/13000</f>
        <v/>
      </c>
      <c r="T73" s="14">
        <f>IFERROR(N73+O73+P73+Q73+R73+S73+L73,"")</f>
        <v/>
      </c>
    </row>
    <row r="74">
      <c r="A74" s="8" t="inlineStr">
        <is>
          <t>Ford Explorer</t>
        </is>
      </c>
      <c r="B74" s="16" t="inlineStr">
        <is>
          <t>SUV AWD</t>
        </is>
      </c>
      <c r="C74" s="28" t="n">
        <v>21000</v>
      </c>
      <c r="D74" s="28" t="n">
        <v>500</v>
      </c>
      <c r="E74" s="57" t="n">
        <v>70000</v>
      </c>
      <c r="F74" s="58" t="n">
        <v>2021</v>
      </c>
      <c r="G74" s="57" t="n">
        <v>184600</v>
      </c>
      <c r="H74" s="59" t="n">
        <v>21</v>
      </c>
      <c r="I74" s="59" t="n">
        <v>0</v>
      </c>
      <c r="J74" s="60" t="n">
        <v>0.08500000000000001</v>
      </c>
      <c r="K74" s="28" t="n">
        <v>1720</v>
      </c>
      <c r="L74" s="60" t="n">
        <v>0.024</v>
      </c>
      <c r="M74" s="61">
        <f>G74-E74</f>
        <v/>
      </c>
      <c r="N74" s="29">
        <f>IFERROR((C74-D74)/M74,"")</f>
        <v/>
      </c>
      <c r="O74" s="29">
        <f>IF(H74&gt;0,'Ranking (hardened)'!$D$3/H74,0)+IF(I74&gt;0,(I74/100)*'Ranking (hardened)'!$F$3,0)</f>
        <v/>
      </c>
      <c r="P74" s="29">
        <f>J74*(1+MAX(0,((E74+G74)/2-100000)/100000)*0.5)</f>
        <v/>
      </c>
      <c r="Q74" s="29">
        <f>(K74*0.35+650*0.65)/13000</f>
        <v/>
      </c>
      <c r="R74" s="29">
        <f>55/13000</f>
        <v/>
      </c>
      <c r="S74" s="29">
        <f>9*(2026-F74)/13000</f>
        <v/>
      </c>
      <c r="T74" s="14">
        <f>IFERROR(N74+O74+P74+Q74+R74+S74+L74,"")</f>
        <v/>
      </c>
    </row>
    <row r="75">
      <c r="A75" s="8" t="inlineStr">
        <is>
          <t>Buick Enclave</t>
        </is>
      </c>
      <c r="B75" s="16" t="inlineStr">
        <is>
          <t>SUV AWD</t>
        </is>
      </c>
      <c r="C75" s="28" t="n">
        <v>16667</v>
      </c>
      <c r="D75" s="28" t="n">
        <v>500</v>
      </c>
      <c r="E75" s="57" t="n">
        <v>90000</v>
      </c>
      <c r="F75" s="58" t="n">
        <v>2019</v>
      </c>
      <c r="G75" s="57" t="n">
        <v>184600</v>
      </c>
      <c r="H75" s="59" t="n">
        <v>21</v>
      </c>
      <c r="I75" s="59" t="n">
        <v>0</v>
      </c>
      <c r="J75" s="60" t="n">
        <v>0.065</v>
      </c>
      <c r="K75" s="28" t="n">
        <v>1800</v>
      </c>
      <c r="L75" s="60" t="n">
        <v>0.024</v>
      </c>
      <c r="M75" s="61">
        <f>G75-E75</f>
        <v/>
      </c>
      <c r="N75" s="29">
        <f>IFERROR((C75-D75)/M75,"")</f>
        <v/>
      </c>
      <c r="O75" s="29">
        <f>IF(H75&gt;0,'Ranking (hardened)'!$D$3/H75,0)+IF(I75&gt;0,(I75/100)*'Ranking (hardened)'!$F$3,0)</f>
        <v/>
      </c>
      <c r="P75" s="29">
        <f>J75*(1+MAX(0,((E75+G75)/2-100000)/100000)*0.5)</f>
        <v/>
      </c>
      <c r="Q75" s="29">
        <f>(K75*0.35+650*0.65)/13000</f>
        <v/>
      </c>
      <c r="R75" s="29">
        <f>55/13000</f>
        <v/>
      </c>
      <c r="S75" s="29">
        <f>9*(2026-F75)/13000</f>
        <v/>
      </c>
      <c r="T75" s="14">
        <f>IFERROR(N75+O75+P75+Q75+R75+S75+L75,"")</f>
        <v/>
      </c>
    </row>
    <row r="76">
      <c r="A76" s="8" t="inlineStr">
        <is>
          <t>Volvo XC60</t>
        </is>
      </c>
      <c r="B76" s="16" t="inlineStr">
        <is>
          <t>SUV AWD</t>
        </is>
      </c>
      <c r="C76" s="28" t="n">
        <v>25200</v>
      </c>
      <c r="D76" s="28" t="n">
        <v>500</v>
      </c>
      <c r="E76" s="57" t="n">
        <v>65000</v>
      </c>
      <c r="F76" s="58" t="n">
        <v>2021</v>
      </c>
      <c r="G76" s="57" t="n">
        <v>200200</v>
      </c>
      <c r="H76" s="59" t="n">
        <v>23</v>
      </c>
      <c r="I76" s="59" t="n">
        <v>0</v>
      </c>
      <c r="J76" s="60" t="n">
        <v>0.065</v>
      </c>
      <c r="K76" s="28" t="n">
        <v>1880</v>
      </c>
      <c r="L76" s="60" t="n">
        <v>0.024</v>
      </c>
      <c r="M76" s="61">
        <f>G76-E76</f>
        <v/>
      </c>
      <c r="N76" s="29">
        <f>IFERROR((C76-D76)/M76,"")</f>
        <v/>
      </c>
      <c r="O76" s="29">
        <f>IF(H76&gt;0,'Ranking (hardened)'!$D$3/H76,0)+IF(I76&gt;0,(I76/100)*'Ranking (hardened)'!$F$3,0)</f>
        <v/>
      </c>
      <c r="P76" s="29">
        <f>J76*(1+MAX(0,((E76+G76)/2-100000)/100000)*0.5)</f>
        <v/>
      </c>
      <c r="Q76" s="29">
        <f>(K76*0.35+650*0.65)/13000</f>
        <v/>
      </c>
      <c r="R76" s="29">
        <f>55/13000</f>
        <v/>
      </c>
      <c r="S76" s="29">
        <f>9*(2026-F76)/13000</f>
        <v/>
      </c>
      <c r="T76" s="14">
        <f>IFERROR(N76+O76+P76+Q76+R76+S76+L76,"")</f>
        <v/>
      </c>
    </row>
    <row r="77">
      <c r="A77" s="8" t="inlineStr">
        <is>
          <t>Chevy Tahoe</t>
        </is>
      </c>
      <c r="B77" s="16" t="inlineStr">
        <is>
          <t>SUV AWD</t>
        </is>
      </c>
      <c r="C77" s="28" t="n">
        <v>39375</v>
      </c>
      <c r="D77" s="28" t="n">
        <v>500</v>
      </c>
      <c r="E77" s="57" t="n">
        <v>55000</v>
      </c>
      <c r="F77" s="58" t="n">
        <v>2022</v>
      </c>
      <c r="G77" s="57" t="n">
        <v>240500</v>
      </c>
      <c r="H77" s="59" t="n">
        <v>16</v>
      </c>
      <c r="I77" s="59" t="n">
        <v>0</v>
      </c>
      <c r="J77" s="60" t="n">
        <v>0.065</v>
      </c>
      <c r="K77" s="28" t="n">
        <v>1880</v>
      </c>
      <c r="L77" s="60" t="n">
        <v>0.024</v>
      </c>
      <c r="M77" s="61">
        <f>G77-E77</f>
        <v/>
      </c>
      <c r="N77" s="29">
        <f>IFERROR((C77-D77)/M77,"")</f>
        <v/>
      </c>
      <c r="O77" s="29">
        <f>IF(H77&gt;0,'Ranking (hardened)'!$D$3/H77,0)+IF(I77&gt;0,(I77/100)*'Ranking (hardened)'!$F$3,0)</f>
        <v/>
      </c>
      <c r="P77" s="29">
        <f>J77*(1+MAX(0,((E77+G77)/2-100000)/100000)*0.5)</f>
        <v/>
      </c>
      <c r="Q77" s="29">
        <f>(K77*0.35+650*0.65)/13000</f>
        <v/>
      </c>
      <c r="R77" s="29">
        <f>55/13000</f>
        <v/>
      </c>
      <c r="S77" s="29">
        <f>9*(2026-F77)/13000</f>
        <v/>
      </c>
      <c r="T77" s="14">
        <f>IFERROR(N77+O77+P77+Q77+R77+S77+L77,"")</f>
        <v/>
      </c>
    </row>
    <row r="78">
      <c r="A78" s="8" t="inlineStr">
        <is>
          <t>Jeep Grand Cherokee L</t>
        </is>
      </c>
      <c r="B78" s="16" t="inlineStr">
        <is>
          <t>SUV AWD</t>
        </is>
      </c>
      <c r="C78" s="28" t="n">
        <v>28600</v>
      </c>
      <c r="D78" s="28" t="n">
        <v>500</v>
      </c>
      <c r="E78" s="57" t="n">
        <v>55000</v>
      </c>
      <c r="F78" s="58" t="n">
        <v>2022</v>
      </c>
      <c r="G78" s="57" t="n">
        <v>184600</v>
      </c>
      <c r="H78" s="59" t="n">
        <v>19</v>
      </c>
      <c r="I78" s="59" t="n">
        <v>0</v>
      </c>
      <c r="J78" s="60" t="n">
        <v>0.08500000000000001</v>
      </c>
      <c r="K78" s="28" t="n">
        <v>1760</v>
      </c>
      <c r="L78" s="60" t="n">
        <v>0.024</v>
      </c>
      <c r="M78" s="61">
        <f>G78-E78</f>
        <v/>
      </c>
      <c r="N78" s="29">
        <f>IFERROR((C78-D78)/M78,"")</f>
        <v/>
      </c>
      <c r="O78" s="29">
        <f>IF(H78&gt;0,'Ranking (hardened)'!$D$3/H78,0)+IF(I78&gt;0,(I78/100)*'Ranking (hardened)'!$F$3,0)</f>
        <v/>
      </c>
      <c r="P78" s="29">
        <f>J78*(1+MAX(0,((E78+G78)/2-100000)/100000)*0.5)</f>
        <v/>
      </c>
      <c r="Q78" s="29">
        <f>(K78*0.35+650*0.65)/13000</f>
        <v/>
      </c>
      <c r="R78" s="29">
        <f>55/13000</f>
        <v/>
      </c>
      <c r="S78" s="29">
        <f>9*(2026-F78)/13000</f>
        <v/>
      </c>
      <c r="T78" s="14">
        <f>IFERROR(N78+O78+P78+Q78+R78+S78+L78,"")</f>
        <v/>
      </c>
    </row>
    <row r="79">
      <c r="A79" s="8" t="inlineStr">
        <is>
          <t>Volvo V90 Cross Country</t>
        </is>
      </c>
      <c r="B79" s="16" t="inlineStr">
        <is>
          <t>SUV AWD</t>
        </is>
      </c>
      <c r="C79" s="28" t="n">
        <v>29800</v>
      </c>
      <c r="D79" s="28" t="n">
        <v>500</v>
      </c>
      <c r="E79" s="57" t="n">
        <v>65000</v>
      </c>
      <c r="F79" s="58" t="n">
        <v>2021</v>
      </c>
      <c r="G79" s="57" t="n">
        <v>200200</v>
      </c>
      <c r="H79" s="59" t="n">
        <v>25</v>
      </c>
      <c r="I79" s="59" t="n">
        <v>0</v>
      </c>
      <c r="J79" s="60" t="n">
        <v>0.065</v>
      </c>
      <c r="K79" s="28" t="n">
        <v>1880</v>
      </c>
      <c r="L79" s="60" t="n">
        <v>0.024</v>
      </c>
      <c r="M79" s="61">
        <f>G79-E79</f>
        <v/>
      </c>
      <c r="N79" s="29">
        <f>IFERROR((C79-D79)/M79,"")</f>
        <v/>
      </c>
      <c r="O79" s="29">
        <f>IF(H79&gt;0,'Ranking (hardened)'!$D$3/H79,0)+IF(I79&gt;0,(I79/100)*'Ranking (hardened)'!$F$3,0)</f>
        <v/>
      </c>
      <c r="P79" s="29">
        <f>J79*(1+MAX(0,((E79+G79)/2-100000)/100000)*0.5)</f>
        <v/>
      </c>
      <c r="Q79" s="29">
        <f>(K79*0.35+650*0.65)/13000</f>
        <v/>
      </c>
      <c r="R79" s="29">
        <f>55/13000</f>
        <v/>
      </c>
      <c r="S79" s="29">
        <f>9*(2026-F79)/13000</f>
        <v/>
      </c>
      <c r="T79" s="14">
        <f>IFERROR(N79+O79+P79+Q79+R79+S79+L79,"")</f>
        <v/>
      </c>
    </row>
    <row r="80">
      <c r="A80" s="8" t="inlineStr">
        <is>
          <t>Chevy Suburban</t>
        </is>
      </c>
      <c r="B80" s="16" t="inlineStr">
        <is>
          <t>SUV AWD</t>
        </is>
      </c>
      <c r="C80" s="28" t="n">
        <v>42375</v>
      </c>
      <c r="D80" s="28" t="n">
        <v>500</v>
      </c>
      <c r="E80" s="57" t="n">
        <v>55000</v>
      </c>
      <c r="F80" s="58" t="n">
        <v>2022</v>
      </c>
      <c r="G80" s="57" t="n">
        <v>244400</v>
      </c>
      <c r="H80" s="59" t="n">
        <v>16</v>
      </c>
      <c r="I80" s="59" t="n">
        <v>0</v>
      </c>
      <c r="J80" s="60" t="n">
        <v>0.065</v>
      </c>
      <c r="K80" s="28" t="n">
        <v>1920</v>
      </c>
      <c r="L80" s="60" t="n">
        <v>0.024</v>
      </c>
      <c r="M80" s="61">
        <f>G80-E80</f>
        <v/>
      </c>
      <c r="N80" s="29">
        <f>IFERROR((C80-D80)/M80,"")</f>
        <v/>
      </c>
      <c r="O80" s="29">
        <f>IF(H80&gt;0,'Ranking (hardened)'!$D$3/H80,0)+IF(I80&gt;0,(I80/100)*'Ranking (hardened)'!$F$3,0)</f>
        <v/>
      </c>
      <c r="P80" s="29">
        <f>J80*(1+MAX(0,((E80+G80)/2-100000)/100000)*0.5)</f>
        <v/>
      </c>
      <c r="Q80" s="29">
        <f>(K80*0.35+650*0.65)/13000</f>
        <v/>
      </c>
      <c r="R80" s="29">
        <f>55/13000</f>
        <v/>
      </c>
      <c r="S80" s="29">
        <f>9*(2026-F80)/13000</f>
        <v/>
      </c>
      <c r="T80" s="14">
        <f>IFERROR(N80+O80+P80+Q80+R80+S80+L80,"")</f>
        <v/>
      </c>
    </row>
    <row r="81">
      <c r="A81" s="8" t="inlineStr">
        <is>
          <t>Volvo XC90</t>
        </is>
      </c>
      <c r="B81" s="16" t="inlineStr">
        <is>
          <t>SUV AWD</t>
        </is>
      </c>
      <c r="C81" s="28" t="n">
        <v>30000</v>
      </c>
      <c r="D81" s="28" t="n">
        <v>500</v>
      </c>
      <c r="E81" s="57" t="n">
        <v>70000</v>
      </c>
      <c r="F81" s="58" t="n">
        <v>2021</v>
      </c>
      <c r="G81" s="57" t="n">
        <v>195000</v>
      </c>
      <c r="H81" s="59" t="n">
        <v>22</v>
      </c>
      <c r="I81" s="59" t="n">
        <v>0</v>
      </c>
      <c r="J81" s="60" t="n">
        <v>0.08500000000000001</v>
      </c>
      <c r="K81" s="28" t="n">
        <v>1920</v>
      </c>
      <c r="L81" s="60" t="n">
        <v>0.024</v>
      </c>
      <c r="M81" s="61">
        <f>G81-E81</f>
        <v/>
      </c>
      <c r="N81" s="29">
        <f>IFERROR((C81-D81)/M81,"")</f>
        <v/>
      </c>
      <c r="O81" s="29">
        <f>IF(H81&gt;0,'Ranking (hardened)'!$D$3/H81,0)+IF(I81&gt;0,(I81/100)*'Ranking (hardened)'!$F$3,0)</f>
        <v/>
      </c>
      <c r="P81" s="29">
        <f>J81*(1+MAX(0,((E81+G81)/2-100000)/100000)*0.5)</f>
        <v/>
      </c>
      <c r="Q81" s="29">
        <f>(K81*0.35+650*0.65)/13000</f>
        <v/>
      </c>
      <c r="R81" s="29">
        <f>55/13000</f>
        <v/>
      </c>
      <c r="S81" s="29">
        <f>9*(2026-F81)/13000</f>
        <v/>
      </c>
      <c r="T81" s="14">
        <f>IFERROR(N81+O81+P81+Q81+R81+S81+L81,"")</f>
        <v/>
      </c>
    </row>
    <row r="82">
      <c r="A82" s="8" t="inlineStr">
        <is>
          <t>Porsche 996 Carrera</t>
        </is>
      </c>
      <c r="B82" s="16" t="inlineStr">
        <is>
          <t>Sport</t>
        </is>
      </c>
      <c r="C82" s="28" t="n">
        <v>38833</v>
      </c>
      <c r="D82" s="28" t="n">
        <v>34950</v>
      </c>
      <c r="E82" s="57" t="n">
        <v>55000</v>
      </c>
      <c r="F82" s="58" t="n">
        <v>2004</v>
      </c>
      <c r="G82" s="57" t="n">
        <v>125000</v>
      </c>
      <c r="H82" s="59" t="n">
        <v>19</v>
      </c>
      <c r="I82" s="59" t="n">
        <v>0</v>
      </c>
      <c r="J82" s="60" t="n">
        <v>0.32</v>
      </c>
      <c r="K82" s="28" t="n">
        <v>1760</v>
      </c>
      <c r="L82" s="60" t="n">
        <v>0.05</v>
      </c>
      <c r="M82" s="61">
        <f>G82-E82</f>
        <v/>
      </c>
      <c r="N82" s="29">
        <f>IFERROR((C82-D82)/M82,"")</f>
        <v/>
      </c>
      <c r="O82" s="29">
        <f>IF(H82&gt;0,'Ranking (hardened)'!$D$3/H82,0)+IF(I82&gt;0,(I82/100)*'Ranking (hardened)'!$F$3,0)</f>
        <v/>
      </c>
      <c r="P82" s="29">
        <f>J82*(1+MAX(0,((E82+G82)/2-100000)/100000)*0.5)</f>
        <v/>
      </c>
      <c r="Q82" s="29">
        <f>(K82*0.35+650*0.65)/13000</f>
        <v/>
      </c>
      <c r="R82" s="29">
        <f>55/13000</f>
        <v/>
      </c>
      <c r="S82" s="29">
        <f>9*(2026-F82)/13000</f>
        <v/>
      </c>
      <c r="T82" s="14">
        <f>IFERROR(N82+O82+P82+Q82+R82+S82+L82,"")</f>
        <v/>
      </c>
    </row>
    <row r="83">
      <c r="A83" s="8" t="inlineStr">
        <is>
          <t>Porsche 996 Turbo</t>
        </is>
      </c>
      <c r="B83" s="16" t="inlineStr">
        <is>
          <t>Sport</t>
        </is>
      </c>
      <c r="C83" s="28" t="n">
        <v>60333</v>
      </c>
      <c r="D83" s="28" t="n">
        <v>54300</v>
      </c>
      <c r="E83" s="57" t="n">
        <v>55000</v>
      </c>
      <c r="F83" s="58" t="n">
        <v>2005</v>
      </c>
      <c r="G83" s="57" t="n">
        <v>125000</v>
      </c>
      <c r="H83" s="59" t="n">
        <v>17</v>
      </c>
      <c r="I83" s="59" t="n">
        <v>0</v>
      </c>
      <c r="J83" s="60" t="n">
        <v>0.32</v>
      </c>
      <c r="K83" s="28" t="n">
        <v>1920</v>
      </c>
      <c r="L83" s="60" t="n">
        <v>0.05</v>
      </c>
      <c r="M83" s="61">
        <f>G83-E83</f>
        <v/>
      </c>
      <c r="N83" s="29">
        <f>IFERROR((C83-D83)/M83,"")</f>
        <v/>
      </c>
      <c r="O83" s="29">
        <f>IF(H83&gt;0,'Ranking (hardened)'!$D$3/H83,0)+IF(I83&gt;0,(I83/100)*'Ranking (hardened)'!$F$3,0)</f>
        <v/>
      </c>
      <c r="P83" s="29">
        <f>J83*(1+MAX(0,((E83+G83)/2-100000)/100000)*0.5)</f>
        <v/>
      </c>
      <c r="Q83" s="29">
        <f>(K83*0.35+650*0.65)/13000</f>
        <v/>
      </c>
      <c r="R83" s="29">
        <f>55/13000</f>
        <v/>
      </c>
      <c r="S83" s="29">
        <f>9*(2026-F83)/13000</f>
        <v/>
      </c>
      <c r="T83" s="14">
        <f>IFERROR(N83+O83+P83+Q83+R83+S83+L83,"")</f>
        <v/>
      </c>
    </row>
    <row r="84">
      <c r="A84" s="8" t="inlineStr">
        <is>
          <t>Ford Ranger 2008 (garage-kept, your example)</t>
        </is>
      </c>
      <c r="B84" s="16" t="inlineStr">
        <is>
          <t>Truck</t>
        </is>
      </c>
      <c r="C84" s="28" t="n">
        <v>10000</v>
      </c>
      <c r="D84" s="28" t="n">
        <v>1500</v>
      </c>
      <c r="E84" s="57" t="n">
        <v>90000</v>
      </c>
      <c r="F84" s="58" t="n">
        <v>2008</v>
      </c>
      <c r="G84" s="57" t="n">
        <v>260000</v>
      </c>
      <c r="H84" s="59" t="n">
        <v>21</v>
      </c>
      <c r="I84" s="59" t="n">
        <v>0</v>
      </c>
      <c r="J84" s="60" t="n">
        <v>0.06</v>
      </c>
      <c r="K84" s="28" t="n">
        <v>2290</v>
      </c>
      <c r="L84" s="60" t="n">
        <v>0.03</v>
      </c>
      <c r="M84" s="61">
        <f>G84-E84</f>
        <v/>
      </c>
      <c r="N84" s="29">
        <f>IFERROR((C84-D84)/M84,"")</f>
        <v/>
      </c>
      <c r="O84" s="29">
        <f>IF(H84&gt;0,'Ranking (hardened)'!$D$3/H84,0)+IF(I84&gt;0,(I84/100)*'Ranking (hardened)'!$F$3,0)</f>
        <v/>
      </c>
      <c r="P84" s="29">
        <f>J84*(1+MAX(0,((E84+G84)/2-100000)/100000)*0.5)</f>
        <v/>
      </c>
      <c r="Q84" s="29">
        <f>(K84*0.35+650*0.65)/13000</f>
        <v/>
      </c>
      <c r="R84" s="29">
        <f>55/13000</f>
        <v/>
      </c>
      <c r="S84" s="29">
        <f>9*(2026-F84)/13000</f>
        <v/>
      </c>
      <c r="T84" s="14">
        <f>IFERROR(N84+O84+P84+Q84+R84+S84+L84,"")</f>
        <v/>
      </c>
    </row>
    <row r="85">
      <c r="A85" s="8" t="inlineStr">
        <is>
          <t>‹ your car here — overwrite me ›</t>
        </is>
      </c>
      <c r="B85" s="16" t="inlineStr">
        <is>
          <t>(sedan)</t>
        </is>
      </c>
      <c r="C85" s="28" t="n">
        <v>18000</v>
      </c>
      <c r="D85" s="28" t="n">
        <v>800</v>
      </c>
      <c r="E85" s="57" t="n">
        <v>60000</v>
      </c>
      <c r="F85" s="58" t="n">
        <v>2021</v>
      </c>
      <c r="G85" s="57" t="n">
        <v>240000</v>
      </c>
      <c r="H85" s="59" t="n">
        <v>32</v>
      </c>
      <c r="I85" s="59" t="n">
        <v>0</v>
      </c>
      <c r="J85" s="60" t="n">
        <v>0.05</v>
      </c>
      <c r="K85" s="28" t="n">
        <v>2200</v>
      </c>
      <c r="L85" s="60" t="n">
        <v>0.018</v>
      </c>
      <c r="M85" s="61">
        <f>G85-E85</f>
        <v/>
      </c>
      <c r="N85" s="29">
        <f>IFERROR((C85-D85)/M85,"")</f>
        <v/>
      </c>
      <c r="O85" s="29">
        <f>IF(H85&gt;0,'Ranking (hardened)'!$D$3/H85,0)+IF(I85&gt;0,(I85/100)*'Ranking (hardened)'!$F$3,0)</f>
        <v/>
      </c>
      <c r="P85" s="29">
        <f>J85*(1+MAX(0,((E85+G85)/2-100000)/100000)*0.5)</f>
        <v/>
      </c>
      <c r="Q85" s="29">
        <f>(K85*0.35+650*0.65)/13000</f>
        <v/>
      </c>
      <c r="R85" s="29">
        <f>55/13000</f>
        <v/>
      </c>
      <c r="S85" s="29">
        <f>9*(2026-F85)/13000</f>
        <v/>
      </c>
      <c r="T85" s="14">
        <f>IFERROR(N85+O85+P85+Q85+R85+S85+L85,"")</f>
        <v/>
      </c>
    </row>
    <row r="86">
      <c r="A86" s="8" t="inlineStr">
        <is>
          <t>‹ your car here — overwrite me ›</t>
        </is>
      </c>
      <c r="B86" s="16" t="inlineStr">
        <is>
          <t>(SUV)</t>
        </is>
      </c>
      <c r="C86" s="28" t="n">
        <v>25000</v>
      </c>
      <c r="D86" s="28" t="n">
        <v>1200</v>
      </c>
      <c r="E86" s="57" t="n">
        <v>50000</v>
      </c>
      <c r="F86" s="58" t="n">
        <v>2022</v>
      </c>
      <c r="G86" s="57" t="n">
        <v>230000</v>
      </c>
      <c r="H86" s="59" t="n">
        <v>25</v>
      </c>
      <c r="I86" s="59" t="n">
        <v>0</v>
      </c>
      <c r="J86" s="60" t="n">
        <v>0.065</v>
      </c>
      <c r="K86" s="28" t="n">
        <v>2200</v>
      </c>
      <c r="L86" s="60" t="n">
        <v>0.024</v>
      </c>
      <c r="M86" s="61">
        <f>G86-E86</f>
        <v/>
      </c>
      <c r="N86" s="29">
        <f>IFERROR((C86-D86)/M86,"")</f>
        <v/>
      </c>
      <c r="O86" s="29">
        <f>IF(H86&gt;0,'Ranking (hardened)'!$D$3/H86,0)+IF(I86&gt;0,(I86/100)*'Ranking (hardened)'!$F$3,0)</f>
        <v/>
      </c>
      <c r="P86" s="29">
        <f>J86*(1+MAX(0,((E86+G86)/2-100000)/100000)*0.5)</f>
        <v/>
      </c>
      <c r="Q86" s="29">
        <f>(K86*0.35+650*0.65)/13000</f>
        <v/>
      </c>
      <c r="R86" s="29">
        <f>55/13000</f>
        <v/>
      </c>
      <c r="S86" s="29">
        <f>9*(2026-F86)/13000</f>
        <v/>
      </c>
      <c r="T86" s="14">
        <f>IFERROR(N86+O86+P86+Q86+R86+S86+L86,"")</f>
        <v/>
      </c>
    </row>
    <row r="87">
      <c r="A87" s="8" t="inlineStr">
        <is>
          <t>‹ your car here — overwrite me ›</t>
        </is>
      </c>
      <c r="B87" s="16" t="inlineStr">
        <is>
          <t>(EV)</t>
        </is>
      </c>
      <c r="C87" s="28" t="n">
        <v>20000</v>
      </c>
      <c r="D87" s="28" t="n">
        <v>1500</v>
      </c>
      <c r="E87" s="57" t="n">
        <v>40000</v>
      </c>
      <c r="F87" s="58" t="n">
        <v>2022</v>
      </c>
      <c r="G87" s="57" t="n">
        <v>180000</v>
      </c>
      <c r="H87" s="59" t="n">
        <v>0</v>
      </c>
      <c r="I87" s="59" t="n">
        <v>28</v>
      </c>
      <c r="J87" s="60" t="n">
        <v>0.05</v>
      </c>
      <c r="K87" s="28" t="n">
        <v>2300</v>
      </c>
      <c r="L87" s="60" t="n">
        <v>0.03</v>
      </c>
      <c r="M87" s="61">
        <f>G87-E87</f>
        <v/>
      </c>
      <c r="N87" s="29">
        <f>IFERROR((C87-D87)/M87,"")</f>
        <v/>
      </c>
      <c r="O87" s="29">
        <f>IF(H87&gt;0,'Ranking (hardened)'!$D$3/H87,0)+IF(I87&gt;0,(I87/100)*'Ranking (hardened)'!$F$3,0)</f>
        <v/>
      </c>
      <c r="P87" s="29">
        <f>J87*(1+MAX(0,((E87+G87)/2-100000)/100000)*0.5)</f>
        <v/>
      </c>
      <c r="Q87" s="29">
        <f>(K87*0.35+650*0.65)/13000</f>
        <v/>
      </c>
      <c r="R87" s="29">
        <f>55/13000</f>
        <v/>
      </c>
      <c r="S87" s="29">
        <f>9*(2026-F87)/13000</f>
        <v/>
      </c>
      <c r="T87" s="14">
        <f>IFERROR(N87+O87+P87+Q87+R87+S87+L87,"")</f>
        <v/>
      </c>
    </row>
    <row r="89">
      <c r="A89" s="5" t="inlineStr">
        <is>
          <t>HOW EACH COLUMN WORKS — TOTAL $/mi = Depreciation + Fuel/energy + Repair&amp;maint + Insurance + Registration + Age + Tires. Depreciation = (Purchase $ − RESALE $) ÷ life miles — this is why the Resale column matters: a normal car is scrap (~$500-1500) at end, but a cared-for enthusiast car (e.g. the 996) RETAINS most of its value, so its depreciation nearly vanishes and MAINTENANCE becomes the main cost. Put a resale ABOVE purchase to model slight appreciation (depreciation goes negative — a credit). Fuel = gas price ÷ MPG (and/or kWh/100 × electricity). Repair&amp;maint = your base $/mi, rising +50% as average odometer passes 100k (set high for exotics). Insurance = lifetime blend (≈35% full + 65% liability). Age = small calendar-age surcharge ($9/yr of age ÷ annual miles) — separates a 2008/90k from a 2019/90k. TO ADD A CAR: copy a yellow row; type real price / RESALE / odometer / year / MPG (or kWh) / EOL, and a base run-cost (Toyota ≈0.045, mid ≈0.065, domestic/older ≈0.085, exotic ≈0.30). EOL = realistic end-of-life odometer (Toyota big SUV ~330k, econobox ~200-260k). The 996 now shows maintenance — not depreciation — as its dominant cost, per its value retention; its $/mi is high mainly because you drive it few miles, spreading fixed costs (insurance, upkeep) thin.</t>
        </is>
      </c>
    </row>
    <row r="90"/>
    <row r="91"/>
    <row r="92"/>
    <row r="93"/>
    <row r="94"/>
    <row r="95"/>
    <row r="97">
      <c r="A97" s="62" t="inlineStr">
        <is>
          <t>END-OF-LIFE REFERENCE — typical odometer at which each class is RETIRED (empirical, ~iSeeCars), and the "maintained/non-crashed" figure this model actually uses (≈×1.30). Fill the End-of-life column from here instead of guessing; a garage-kept, dealer-serviced example earns the higher end, a neglected one the lower.</t>
        </is>
      </c>
    </row>
    <row r="98">
      <c r="A98" s="7" t="inlineStr">
        <is>
          <t>Category (examples)</t>
        </is>
      </c>
      <c r="B98" s="63" t="n"/>
      <c r="C98" s="63" t="n"/>
      <c r="D98" s="63" t="n"/>
      <c r="E98" s="63" t="n"/>
      <c r="F98" s="64" t="n"/>
      <c r="G98" s="7" t="inlineStr">
        <is>
          <t>Typical retirement (empirical)</t>
        </is>
      </c>
      <c r="H98" s="63" t="n"/>
      <c r="I98" s="64" t="n"/>
      <c r="J98" s="7" t="inlineStr">
        <is>
          <t>"Maintained" EOL (used here)</t>
        </is>
      </c>
      <c r="K98" s="63" t="n"/>
      <c r="L98" s="64" t="n"/>
      <c r="M98" s="7" t="inlineStr">
        <is>
          <t>Notes</t>
        </is>
      </c>
      <c r="N98" s="63" t="n"/>
      <c r="O98" s="63" t="n"/>
      <c r="P98" s="63" t="n"/>
      <c r="Q98" s="63" t="n"/>
      <c r="R98" s="63" t="n"/>
      <c r="S98" s="63" t="n"/>
      <c r="T98" s="64" t="n"/>
    </row>
    <row r="99">
      <c r="A99" s="8" t="inlineStr">
        <is>
          <t>Toyota/Lexus car &amp; crossover — Corolla, Camry, RAV4, Highlander, Prius</t>
        </is>
      </c>
      <c r="B99" s="63" t="n"/>
      <c r="C99" s="63" t="n"/>
      <c r="D99" s="63" t="n"/>
      <c r="E99" s="63" t="n"/>
      <c r="F99" s="64" t="n"/>
      <c r="G99" s="16" t="inlineStr">
        <is>
          <t>195–210k</t>
        </is>
      </c>
      <c r="H99" s="63" t="n"/>
      <c r="I99" s="64" t="n"/>
      <c r="J99" s="16" t="inlineStr">
        <is>
          <t>255–275k</t>
        </is>
      </c>
      <c r="K99" s="63" t="n"/>
      <c r="L99" s="64" t="n"/>
      <c r="M99" s="8" t="inlineStr">
        <is>
          <t>hybrids the same; traction battery ~$2k once</t>
        </is>
      </c>
      <c r="N99" s="63" t="n"/>
      <c r="O99" s="63" t="n"/>
      <c r="P99" s="63" t="n"/>
      <c r="Q99" s="63" t="n"/>
      <c r="R99" s="63" t="n"/>
      <c r="S99" s="63" t="n"/>
      <c r="T99" s="64" t="n"/>
    </row>
    <row r="100">
      <c r="A100" s="8" t="inlineStr">
        <is>
          <t>Toyota truck &amp; body-on-frame — Tacoma, 4Runner, Sequoia</t>
        </is>
      </c>
      <c r="B100" s="63" t="n"/>
      <c r="C100" s="63" t="n"/>
      <c r="D100" s="63" t="n"/>
      <c r="E100" s="63" t="n"/>
      <c r="F100" s="64" t="n"/>
      <c r="G100" s="16" t="inlineStr">
        <is>
          <t>245–260k</t>
        </is>
      </c>
      <c r="H100" s="63" t="n"/>
      <c r="I100" s="64" t="n"/>
      <c r="J100" s="16" t="inlineStr">
        <is>
          <t>320–340k</t>
        </is>
      </c>
      <c r="K100" s="63" t="n"/>
      <c r="L100" s="64" t="n"/>
      <c r="M100" s="8" t="inlineStr">
        <is>
          <t>the durability champions</t>
        </is>
      </c>
      <c r="N100" s="63" t="n"/>
      <c r="O100" s="63" t="n"/>
      <c r="P100" s="63" t="n"/>
      <c r="Q100" s="63" t="n"/>
      <c r="R100" s="63" t="n"/>
      <c r="S100" s="63" t="n"/>
      <c r="T100" s="64" t="n"/>
    </row>
    <row r="101">
      <c r="A101" s="8" t="inlineStr">
        <is>
          <t>Honda — Civic, Accord, CR-V, Pilot, Odyssey</t>
        </is>
      </c>
      <c r="B101" s="63" t="n"/>
      <c r="C101" s="63" t="n"/>
      <c r="D101" s="63" t="n"/>
      <c r="E101" s="63" t="n"/>
      <c r="F101" s="64" t="n"/>
      <c r="G101" s="16" t="inlineStr">
        <is>
          <t>180–190k</t>
        </is>
      </c>
      <c r="H101" s="63" t="n"/>
      <c r="I101" s="64" t="n"/>
      <c r="J101" s="16" t="inlineStr">
        <is>
          <t>235–245k</t>
        </is>
      </c>
      <c r="K101" s="63" t="n"/>
      <c r="L101" s="64" t="n"/>
      <c r="M101" s="8" t="inlineStr">
        <is>
          <t>watch older automatics/Odyssey trans</t>
        </is>
      </c>
      <c r="N101" s="63" t="n"/>
      <c r="O101" s="63" t="n"/>
      <c r="P101" s="63" t="n"/>
      <c r="Q101" s="63" t="n"/>
      <c r="R101" s="63" t="n"/>
      <c r="S101" s="63" t="n"/>
      <c r="T101" s="64" t="n"/>
    </row>
    <row r="102">
      <c r="A102" s="8" t="inlineStr">
        <is>
          <t>Mazda — 3, CX-5, CX-90</t>
        </is>
      </c>
      <c r="B102" s="63" t="n"/>
      <c r="C102" s="63" t="n"/>
      <c r="D102" s="63" t="n"/>
      <c r="E102" s="63" t="n"/>
      <c r="F102" s="64" t="n"/>
      <c r="G102" s="16" t="inlineStr">
        <is>
          <t>165–170k</t>
        </is>
      </c>
      <c r="H102" s="63" t="n"/>
      <c r="I102" s="64" t="n"/>
      <c r="J102" s="16" t="inlineStr">
        <is>
          <t>215–220k</t>
        </is>
      </c>
      <c r="K102" s="63" t="n"/>
      <c r="L102" s="64" t="n"/>
      <c r="M102" s="8" t="inlineStr">
        <is>
          <t>solid; slightly behind Toyota/Honda</t>
        </is>
      </c>
      <c r="N102" s="63" t="n"/>
      <c r="O102" s="63" t="n"/>
      <c r="P102" s="63" t="n"/>
      <c r="Q102" s="63" t="n"/>
      <c r="R102" s="63" t="n"/>
      <c r="S102" s="63" t="n"/>
      <c r="T102" s="64" t="n"/>
    </row>
    <row r="103">
      <c r="A103" s="8" t="inlineStr">
        <is>
          <t>Hyundai / Kia — Tucson, Telluride, Palisade</t>
        </is>
      </c>
      <c r="B103" s="63" t="n"/>
      <c r="C103" s="63" t="n"/>
      <c r="D103" s="63" t="n"/>
      <c r="E103" s="63" t="n"/>
      <c r="F103" s="64" t="n"/>
      <c r="G103" s="16" t="inlineStr">
        <is>
          <t>150–175k</t>
        </is>
      </c>
      <c r="H103" s="63" t="n"/>
      <c r="I103" s="64" t="n"/>
      <c r="J103" s="16" t="inlineStr">
        <is>
          <t>195–230k</t>
        </is>
      </c>
      <c r="K103" s="63" t="n"/>
      <c r="L103" s="64" t="n"/>
      <c r="M103" s="8" t="inlineStr">
        <is>
          <t>newer models, thinner long-term data</t>
        </is>
      </c>
      <c r="N103" s="63" t="n"/>
      <c r="O103" s="63" t="n"/>
      <c r="P103" s="63" t="n"/>
      <c r="Q103" s="63" t="n"/>
      <c r="R103" s="63" t="n"/>
      <c r="S103" s="63" t="n"/>
      <c r="T103" s="64" t="n"/>
    </row>
    <row r="104">
      <c r="A104" s="8" t="inlineStr">
        <is>
          <t>Subaru — Outback, Forester, Ascent</t>
        </is>
      </c>
      <c r="B104" s="63" t="n"/>
      <c r="C104" s="63" t="n"/>
      <c r="D104" s="63" t="n"/>
      <c r="E104" s="63" t="n"/>
      <c r="F104" s="64" t="n"/>
      <c r="G104" s="16" t="inlineStr">
        <is>
          <t>150–165k</t>
        </is>
      </c>
      <c r="H104" s="63" t="n"/>
      <c r="I104" s="64" t="n"/>
      <c r="J104" s="16" t="inlineStr">
        <is>
          <t>195–215k</t>
        </is>
      </c>
      <c r="K104" s="63" t="n"/>
      <c r="L104" s="64" t="n"/>
      <c r="M104" s="8" t="inlineStr">
        <is>
          <t>CVT + head-gasket (older) history</t>
        </is>
      </c>
      <c r="N104" s="63" t="n"/>
      <c r="O104" s="63" t="n"/>
      <c r="P104" s="63" t="n"/>
      <c r="Q104" s="63" t="n"/>
      <c r="R104" s="63" t="n"/>
      <c r="S104" s="63" t="n"/>
      <c r="T104" s="64" t="n"/>
    </row>
    <row r="105">
      <c r="A105" s="8" t="inlineStr">
        <is>
          <t>Domestic car/crossover — Equinox, Escape, Traverse, Explorer</t>
        </is>
      </c>
      <c r="B105" s="63" t="n"/>
      <c r="C105" s="63" t="n"/>
      <c r="D105" s="63" t="n"/>
      <c r="E105" s="63" t="n"/>
      <c r="F105" s="64" t="n"/>
      <c r="G105" s="16" t="inlineStr">
        <is>
          <t>150–160k</t>
        </is>
      </c>
      <c r="H105" s="63" t="n"/>
      <c r="I105" s="64" t="n"/>
      <c r="J105" s="16" t="inlineStr">
        <is>
          <t>195–210k</t>
        </is>
      </c>
      <c r="K105" s="63" t="n"/>
      <c r="L105" s="64" t="n"/>
      <c r="M105" s="8" t="inlineStr">
        <is>
          <t>transmission is the usual life-limiter</t>
        </is>
      </c>
      <c r="N105" s="63" t="n"/>
      <c r="O105" s="63" t="n"/>
      <c r="P105" s="63" t="n"/>
      <c r="Q105" s="63" t="n"/>
      <c r="R105" s="63" t="n"/>
      <c r="S105" s="63" t="n"/>
      <c r="T105" s="64" t="n"/>
    </row>
    <row r="106">
      <c r="A106" s="8" t="inlineStr">
        <is>
          <t>Domestic truck/big SUV — Tahoe, Suburban, Colorado, Ranger</t>
        </is>
      </c>
      <c r="B106" s="63" t="n"/>
      <c r="C106" s="63" t="n"/>
      <c r="D106" s="63" t="n"/>
      <c r="E106" s="63" t="n"/>
      <c r="F106" s="64" t="n"/>
      <c r="G106" s="16" t="inlineStr">
        <is>
          <t>160–215k</t>
        </is>
      </c>
      <c r="H106" s="63" t="n"/>
      <c r="I106" s="64" t="n"/>
      <c r="J106" s="16" t="inlineStr">
        <is>
          <t>210–280k</t>
        </is>
      </c>
      <c r="K106" s="63" t="n"/>
      <c r="L106" s="64" t="n"/>
      <c r="M106" s="8" t="inlineStr">
        <is>
          <t>V8s go far; thirsty</t>
        </is>
      </c>
      <c r="N106" s="63" t="n"/>
      <c r="O106" s="63" t="n"/>
      <c r="P106" s="63" t="n"/>
      <c r="Q106" s="63" t="n"/>
      <c r="R106" s="63" t="n"/>
      <c r="S106" s="63" t="n"/>
      <c r="T106" s="64" t="n"/>
    </row>
    <row r="107">
      <c r="A107" s="8" t="inlineStr">
        <is>
          <t>Volkswagen — Golf/GTI, Tiguan, Atlas</t>
        </is>
      </c>
      <c r="B107" s="63" t="n"/>
      <c r="C107" s="63" t="n"/>
      <c r="D107" s="63" t="n"/>
      <c r="E107" s="63" t="n"/>
      <c r="F107" s="64" t="n"/>
      <c r="G107" s="16" t="inlineStr">
        <is>
          <t>155–180k</t>
        </is>
      </c>
      <c r="H107" s="63" t="n"/>
      <c r="I107" s="64" t="n"/>
      <c r="J107" s="16" t="inlineStr">
        <is>
          <t>200–235k</t>
        </is>
      </c>
      <c r="K107" s="63" t="n"/>
      <c r="L107" s="64" t="n"/>
      <c r="M107" s="8" t="inlineStr">
        <is>
          <t>turbo/coolant upkeep matters</t>
        </is>
      </c>
      <c r="N107" s="63" t="n"/>
      <c r="O107" s="63" t="n"/>
      <c r="P107" s="63" t="n"/>
      <c r="Q107" s="63" t="n"/>
      <c r="R107" s="63" t="n"/>
      <c r="S107" s="63" t="n"/>
      <c r="T107" s="64" t="n"/>
    </row>
    <row r="108">
      <c r="A108" s="8" t="inlineStr">
        <is>
          <t>Volvo — XC60, XC90, V90 Cross Country</t>
        </is>
      </c>
      <c r="B108" s="63" t="n"/>
      <c r="C108" s="63" t="n"/>
      <c r="D108" s="63" t="n"/>
      <c r="E108" s="63" t="n"/>
      <c r="F108" s="64" t="n"/>
      <c r="G108" s="16" t="inlineStr">
        <is>
          <t>180–190k</t>
        </is>
      </c>
      <c r="H108" s="63" t="n"/>
      <c r="I108" s="64" t="n"/>
      <c r="J108" s="16" t="inlineStr">
        <is>
          <t>235–250k</t>
        </is>
      </c>
      <c r="K108" s="63" t="n"/>
      <c r="L108" s="64" t="n"/>
      <c r="M108" s="8" t="inlineStr">
        <is>
          <t>reaches it, but repairs are pricey (~$800/yr)</t>
        </is>
      </c>
      <c r="N108" s="63" t="n"/>
      <c r="O108" s="63" t="n"/>
      <c r="P108" s="63" t="n"/>
      <c r="Q108" s="63" t="n"/>
      <c r="R108" s="63" t="n"/>
      <c r="S108" s="63" t="n"/>
      <c r="T108" s="64" t="n"/>
    </row>
    <row r="109">
      <c r="A109" s="8" t="inlineStr">
        <is>
          <t>EV, liquid-cooled — Bolt, Model 3, ID.4</t>
        </is>
      </c>
      <c r="B109" s="63" t="n"/>
      <c r="C109" s="63" t="n"/>
      <c r="D109" s="63" t="n"/>
      <c r="E109" s="63" t="n"/>
      <c r="F109" s="64" t="n"/>
      <c r="G109" s="16" t="inlineStr">
        <is>
          <t>150–175k</t>
        </is>
      </c>
      <c r="H109" s="63" t="n"/>
      <c r="I109" s="64" t="n"/>
      <c r="J109" s="16" t="inlineStr">
        <is>
          <t>battery-limited</t>
        </is>
      </c>
      <c r="K109" s="63" t="n"/>
      <c r="L109" s="64" t="n"/>
      <c r="M109" s="8" t="inlineStr">
        <is>
          <t>pack health, not the motor, sets EOL</t>
        </is>
      </c>
      <c r="N109" s="63" t="n"/>
      <c r="O109" s="63" t="n"/>
      <c r="P109" s="63" t="n"/>
      <c r="Q109" s="63" t="n"/>
      <c r="R109" s="63" t="n"/>
      <c r="S109" s="63" t="n"/>
      <c r="T109" s="64" t="n"/>
    </row>
    <row r="110">
      <c r="A110" s="8" t="inlineStr">
        <is>
          <t>EV, air-cooled — Nissan Leaf</t>
        </is>
      </c>
      <c r="B110" s="63" t="n"/>
      <c r="C110" s="63" t="n"/>
      <c r="D110" s="63" t="n"/>
      <c r="E110" s="63" t="n"/>
      <c r="F110" s="64" t="n"/>
      <c r="G110" s="16" t="inlineStr">
        <is>
          <t>105–135k</t>
        </is>
      </c>
      <c r="H110" s="63" t="n"/>
      <c r="I110" s="64" t="n"/>
      <c r="J110" s="16" t="inlineStr">
        <is>
          <t>battery-limited</t>
        </is>
      </c>
      <c r="K110" s="63" t="n"/>
      <c r="L110" s="64" t="n"/>
      <c r="M110" s="8" t="inlineStr">
        <is>
          <t>degrades fastest — check state-of-health</t>
        </is>
      </c>
      <c r="N110" s="63" t="n"/>
      <c r="O110" s="63" t="n"/>
      <c r="P110" s="63" t="n"/>
      <c r="Q110" s="63" t="n"/>
      <c r="R110" s="63" t="n"/>
      <c r="S110" s="63" t="n"/>
      <c r="T110" s="64" t="n"/>
    </row>
    <row r="111">
      <c r="A111" s="8" t="inlineStr">
        <is>
          <t>German sport / exotic, driven modestly — 996</t>
        </is>
      </c>
      <c r="B111" s="63" t="n"/>
      <c r="C111" s="63" t="n"/>
      <c r="D111" s="63" t="n"/>
      <c r="E111" s="63" t="n"/>
      <c r="F111" s="64" t="n"/>
      <c r="G111" s="16" t="inlineStr">
        <is>
          <t>150–180k</t>
        </is>
      </c>
      <c r="H111" s="63" t="n"/>
      <c r="I111" s="64" t="n"/>
      <c r="J111" s="16" t="inlineStr">
        <is>
          <t>(few miles/yr)</t>
        </is>
      </c>
      <c r="K111" s="63" t="n"/>
      <c r="L111" s="64" t="n"/>
      <c r="M111" s="8" t="inlineStr">
        <is>
          <t>maintenance, not mileage, ends it</t>
        </is>
      </c>
      <c r="N111" s="63" t="n"/>
      <c r="O111" s="63" t="n"/>
      <c r="P111" s="63" t="n"/>
      <c r="Q111" s="63" t="n"/>
      <c r="R111" s="63" t="n"/>
      <c r="S111" s="63" t="n"/>
      <c r="T111" s="64" t="n"/>
    </row>
  </sheetData>
  <mergeCells count="59">
    <mergeCell ref="G101:I101"/>
    <mergeCell ref="J99:L99"/>
    <mergeCell ref="A99:F99"/>
    <mergeCell ref="G103:I103"/>
    <mergeCell ref="J107:L107"/>
    <mergeCell ref="A108:F108"/>
    <mergeCell ref="J98:L98"/>
    <mergeCell ref="J108:L108"/>
    <mergeCell ref="A105:F105"/>
    <mergeCell ref="M111:T111"/>
    <mergeCell ref="J101:L101"/>
    <mergeCell ref="A101:F101"/>
    <mergeCell ref="M107:T107"/>
    <mergeCell ref="M98:T98"/>
    <mergeCell ref="J104:L104"/>
    <mergeCell ref="A104:F104"/>
    <mergeCell ref="J100:L100"/>
    <mergeCell ref="G108:I108"/>
    <mergeCell ref="A1:T1"/>
    <mergeCell ref="J103:L103"/>
    <mergeCell ref="M110:T110"/>
    <mergeCell ref="G104:I104"/>
    <mergeCell ref="G110:I110"/>
    <mergeCell ref="A106:F106"/>
    <mergeCell ref="J109:L109"/>
    <mergeCell ref="M109:T109"/>
    <mergeCell ref="J105:L105"/>
    <mergeCell ref="A100:F100"/>
    <mergeCell ref="M99:T99"/>
    <mergeCell ref="G100:I100"/>
    <mergeCell ref="M108:T108"/>
    <mergeCell ref="A109:F109"/>
    <mergeCell ref="G109:I109"/>
    <mergeCell ref="J106:L106"/>
    <mergeCell ref="G99:I99"/>
    <mergeCell ref="M105:T105"/>
    <mergeCell ref="A102:F102"/>
    <mergeCell ref="G106:I106"/>
    <mergeCell ref="J110:L110"/>
    <mergeCell ref="G102:I102"/>
    <mergeCell ref="M104:T104"/>
    <mergeCell ref="A111:F111"/>
    <mergeCell ref="G111:I111"/>
    <mergeCell ref="J111:L111"/>
    <mergeCell ref="G105:I105"/>
    <mergeCell ref="M101:T101"/>
    <mergeCell ref="A107:F107"/>
    <mergeCell ref="M106:T106"/>
    <mergeCell ref="A98:F98"/>
    <mergeCell ref="A97:T97"/>
    <mergeCell ref="G107:I107"/>
    <mergeCell ref="G98:I98"/>
    <mergeCell ref="M100:T100"/>
    <mergeCell ref="A103:F103"/>
    <mergeCell ref="J102:L102"/>
    <mergeCell ref="A110:F110"/>
    <mergeCell ref="M103:T103"/>
    <mergeCell ref="A89:T95"/>
    <mergeCell ref="M102:T102"/>
  </mergeCells>
  <conditionalFormatting sqref="T13:T87">
    <cfRule type="colorScale" priority="1">
      <colorScale>
        <cfvo type="num" val="0.38"/>
        <cfvo type="num" val="0.6"/>
        <cfvo type="num" val="1"/>
        <color rgb="0063BE7B"/>
        <color rgb="00FFEB84"/>
        <color rgb="00F8696B"/>
      </colorScale>
    </cfRule>
  </conditionalFormatting>
  <dataValidations count="2">
    <dataValidation sqref="B4" showDropDown="0" showInputMessage="0" showErrorMessage="0" allowBlank="0" type="list">
      <formula1>Lists!$A$2:$A$72</formula1>
    </dataValidation>
    <dataValidation sqref="B5" showDropDown="0" showInputMessage="0" showErrorMessage="0" allowBlank="0" type="list">
      <formula1>Lists!$O$2:$O$23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8"/>
  <sheetViews>
    <sheetView showGridLines="0" workbookViewId="0">
      <selection activeCell="A1" sqref="A1"/>
    </sheetView>
  </sheetViews>
  <sheetFormatPr baseColWidth="8" defaultRowHeight="15"/>
  <cols>
    <col width="16" customWidth="1" min="1" max="1"/>
  </cols>
  <sheetData>
    <row r="1">
      <c r="A1" s="6" t="inlineStr">
        <is>
          <t>LAYER 4 — PLOT.  X-axis = $/mile (P50). Pick the Y-axis from the yellow dropdown (B3) and BOTH charts update. Hover any point for the vehicle. Top chart colours by fuel, bottom by body style. The backing table lives on the "Plot data (helper)" tab.</t>
        </is>
      </c>
    </row>
    <row r="3">
      <c r="A3" s="24" t="inlineStr">
        <is>
          <t>Y-axis →</t>
        </is>
      </c>
      <c r="B3" s="49" t="inlineStr">
        <is>
          <t>P90 $/mi (bad-luck)</t>
        </is>
      </c>
      <c r="C3" s="65">
        <f>" ↕ Y-AXIS  =  "&amp;$B$3&amp;"        (units: "&amp;IFERROR(INDEX('Plot data (helper)'!$D$4:$S$4,1,MATCH($B$3,'Plot data (helper)'!$D$5:$S$5,0)),"?")&amp;")"</f>
        <v/>
      </c>
    </row>
    <row r="4">
      <c r="A4" s="5" t="inlineStr">
        <is>
          <t>KEY — colour: grey=gas · green=hybrid · blue=electric · purple=plug-in (top) / by body style (bottom). Hover a point for make·model·body·year.</t>
        </is>
      </c>
    </row>
    <row r="38">
      <c r="A38" s="5" t="inlineStr">
        <is>
          <t>SAME POINTS, COLOURED BY BODY STYLE (Sheets ignores marker shapes on import) →</t>
        </is>
      </c>
    </row>
  </sheetData>
  <mergeCells count="3">
    <mergeCell ref="A4:S4"/>
    <mergeCell ref="A1:S1"/>
    <mergeCell ref="C3:S3"/>
  </mergeCells>
  <dataValidations count="1">
    <dataValidation sqref="B3" showDropDown="0" showInputMessage="0" showErrorMessage="0" allowBlank="0" type="list">
      <formula1>'Plot data (helper)'!$D$5:$S$5</formula1>
    </dataValidation>
  </dataValidation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L230"/>
  <sheetViews>
    <sheetView showGridLines="0" workbookViewId="0">
      <selection activeCell="A1" sqref="A1"/>
    </sheetView>
  </sheetViews>
  <sheetFormatPr baseColWidth="8" defaultRowHeight="15"/>
  <cols>
    <col width="22" customWidth="1" min="1" max="1"/>
  </cols>
  <sheetData>
    <row r="1">
      <c r="A1" s="6" t="inlineStr">
        <is>
          <t>LAYER 4 — CHARTS.  Nine views a $/mile ranking cannot show. Charts 1-8 follow the 10 yellow dropdowns (A4:A13); chart 9 is the whole top-25 field. 1) Payback  2) Cost breakdown  3) Cheap vs risky  4) Annual-mileage  5) Space per dollar  6) Buy odometer  7) Gas price  8) Discount rate  9) Uncertainty bands (what we actually know). Backing data is on the "Charts data (helper)" tab.</t>
        </is>
      </c>
    </row>
    <row r="3">
      <c r="A3" s="24" t="inlineStr">
        <is>
          <t>SELECT UP TO 10 CARS TO COMPARE  (yellow dropdowns — default = current top 10) →</t>
        </is>
      </c>
    </row>
    <row r="4">
      <c r="A4" s="49" t="inlineStr">
        <is>
          <t>Chevy Bolt EV</t>
        </is>
      </c>
    </row>
    <row r="5">
      <c r="A5" s="49" t="inlineStr">
        <is>
          <t>Chevy Volt</t>
        </is>
      </c>
    </row>
    <row r="6">
      <c r="A6" s="49" t="inlineStr">
        <is>
          <t>Toyota Prius (hybrid)</t>
        </is>
      </c>
    </row>
    <row r="7">
      <c r="A7" s="49" t="inlineStr">
        <is>
          <t>Toyota Prius Prime</t>
        </is>
      </c>
    </row>
    <row r="8">
      <c r="A8" s="49" t="inlineStr">
        <is>
          <t>Toyota Corolla</t>
        </is>
      </c>
    </row>
    <row r="9">
      <c r="A9" s="49" t="inlineStr">
        <is>
          <t>Toyota Camry Hybrid</t>
        </is>
      </c>
    </row>
    <row r="10">
      <c r="A10" s="49" t="inlineStr">
        <is>
          <t>Honda Civic</t>
        </is>
      </c>
    </row>
    <row r="11">
      <c r="A11" s="49" t="inlineStr">
        <is>
          <t>Nissan Leaf</t>
        </is>
      </c>
    </row>
    <row r="12">
      <c r="A12" s="49" t="inlineStr">
        <is>
          <t>Hyundai Elantra</t>
        </is>
      </c>
    </row>
    <row r="13">
      <c r="A13" s="49" t="inlineStr">
        <is>
          <t>Honda Accord</t>
        </is>
      </c>
    </row>
    <row r="230">
      <c r="A230" s="5" t="inlineStr">
        <is>
          <t>CHART 9 — each bar is a car's 90% cost range (P05→P95); the light/dark boundary is the median. Bars that overlap left-to-right are statistically indistinguishable — that overlap is the gap in what the model can tell you.</t>
        </is>
      </c>
    </row>
  </sheetData>
  <mergeCells count="1">
    <mergeCell ref="A1:L1"/>
  </mergeCells>
  <dataValidations count="1">
    <dataValidation sqref="A4 A5 A6 A7 A8 A9 A10 A11 A12 A13" showDropDown="0" showInputMessage="0" showErrorMessage="0" allowBlank="0" type="list">
      <formula1>Lists!$A$2:$A$72</formula1>
    </dataValidation>
  </dataValidation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K8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12" customWidth="1" min="3" max="3"/>
    <col width="10" customWidth="1" min="4" max="4"/>
    <col width="12" customWidth="1" min="5" max="5"/>
    <col width="7" customWidth="1" min="6" max="6"/>
    <col width="10" customWidth="1" min="7" max="7"/>
    <col width="10" customWidth="1" min="8" max="8"/>
    <col width="11" customWidth="1" min="9" max="9"/>
    <col width="11" customWidth="1" min="10" max="10"/>
    <col width="8" customWidth="1" min="11" max="11"/>
  </cols>
  <sheetData>
    <row r="1">
      <c r="A1" s="6" t="inlineStr">
        <is>
          <t>BEYOND $/MILE — the adversarial review flagged that ranking on expected $/mile alone hides capital, risk, utility-per-dollar and pollution. These are the other quantifiable metrics to weigh (California base prices; a snapshot, not live). Greener = better in each column. $/mile is NOT the whole story: a car can win on $/mile yet tie up more cash, carry a fatter bad-luck tail, or cost far more per kid-seat. Use this to pick the metric that matches YOUR priority.</t>
        </is>
      </c>
    </row>
    <row r="3" ht="30" customHeight="1">
      <c r="A3" s="7" t="inlineStr">
        <is>
          <t>Vehicle</t>
        </is>
      </c>
      <c r="B3" s="7" t="inlineStr">
        <is>
          <t>$/mi
(P50)</t>
        </is>
      </c>
      <c r="C3" s="7" t="inlineStr">
        <is>
          <t>Bad-luck tail
(P90−P50)</t>
        </is>
      </c>
      <c r="D3" s="7" t="inlineStr">
        <is>
          <t>Up-front
capital</t>
        </is>
      </c>
      <c r="E3" s="7" t="inlineStr">
        <is>
          <t>5yr / 75k-mi
$/mi</t>
        </is>
      </c>
      <c r="F3" s="7" t="inlineStr">
        <is>
          <t>Seats</t>
        </is>
      </c>
      <c r="G3" s="7" t="inlineStr">
        <is>
          <t>$ per
seat-mile</t>
        </is>
      </c>
      <c r="H3" s="7" t="inlineStr">
        <is>
          <t>Max cargo
(cu ft)</t>
        </is>
      </c>
      <c r="I3" s="7" t="inlineStr">
        <is>
          <t>$/mi per
cu-ft</t>
        </is>
      </c>
      <c r="J3" s="7" t="inlineStr">
        <is>
          <t>+$1/gal →
Δ$/mi</t>
        </is>
      </c>
      <c r="K3" s="7" t="inlineStr">
        <is>
          <t>CO₂
g/mi</t>
        </is>
      </c>
    </row>
    <row r="4">
      <c r="A4" s="27" t="inlineStr">
        <is>
          <t>Chevy Bolt EV</t>
        </is>
      </c>
      <c r="B4" s="29" t="n">
        <v>0.315</v>
      </c>
      <c r="C4" s="29" t="n">
        <v>0.056</v>
      </c>
      <c r="D4" s="30" t="n">
        <v>15643</v>
      </c>
      <c r="E4" s="29" t="n">
        <v>0.381</v>
      </c>
      <c r="F4" s="16" t="n">
        <v>5</v>
      </c>
      <c r="G4" s="66" t="n">
        <v>0.0631</v>
      </c>
      <c r="H4" s="16" t="n">
        <v>57</v>
      </c>
      <c r="I4" s="67" t="n">
        <v>0.00553</v>
      </c>
      <c r="J4" s="29" t="n">
        <v>0</v>
      </c>
      <c r="K4" s="61" t="n">
        <v>76</v>
      </c>
    </row>
    <row r="5">
      <c r="A5" s="27" t="inlineStr">
        <is>
          <t>Chevy Volt</t>
        </is>
      </c>
      <c r="B5" s="29" t="n">
        <v>0.335</v>
      </c>
      <c r="C5" s="29" t="n">
        <v>0.035</v>
      </c>
      <c r="D5" s="30" t="n">
        <v>15143</v>
      </c>
      <c r="E5" s="29" t="n">
        <v>0.387</v>
      </c>
      <c r="F5" s="16" t="n">
        <v>5</v>
      </c>
      <c r="G5" s="66" t="n">
        <v>0.06710000000000001</v>
      </c>
      <c r="H5" s="16" t="n">
        <v>30</v>
      </c>
      <c r="I5" s="67" t="n">
        <v>0.01118</v>
      </c>
      <c r="J5" s="29" t="n">
        <v>0.003</v>
      </c>
      <c r="K5" s="61" t="n">
        <v>107</v>
      </c>
    </row>
    <row r="6">
      <c r="A6" s="8" t="inlineStr">
        <is>
          <t>Toyota Prius (hybrid)</t>
        </is>
      </c>
      <c r="B6" s="29" t="n">
        <v>0.353</v>
      </c>
      <c r="C6" s="29" t="n">
        <v>0.025</v>
      </c>
      <c r="D6" s="30" t="n">
        <v>26000</v>
      </c>
      <c r="E6" s="29" t="n">
        <v>0.484</v>
      </c>
      <c r="F6" s="16" t="n">
        <v>5</v>
      </c>
      <c r="G6" s="66" t="n">
        <v>0.0706</v>
      </c>
      <c r="H6" s="16" t="n">
        <v>50</v>
      </c>
      <c r="I6" s="67" t="n">
        <v>0.00706</v>
      </c>
      <c r="J6" s="29" t="n">
        <v>0.012</v>
      </c>
      <c r="K6" s="61" t="n">
        <v>178</v>
      </c>
    </row>
    <row r="7">
      <c r="A7" s="27" t="inlineStr">
        <is>
          <t>Toyota Prius Prime</t>
        </is>
      </c>
      <c r="B7" s="29" t="n">
        <v>0.364</v>
      </c>
      <c r="C7" s="29" t="n">
        <v>0.038</v>
      </c>
      <c r="D7" s="30" t="n">
        <v>15000</v>
      </c>
      <c r="E7" s="29" t="n">
        <v>0.431</v>
      </c>
      <c r="F7" s="16" t="n">
        <v>5</v>
      </c>
      <c r="G7" s="66" t="n">
        <v>0.0728</v>
      </c>
      <c r="H7" s="16" t="n">
        <v>20</v>
      </c>
      <c r="I7" s="67" t="n">
        <v>0.01821</v>
      </c>
      <c r="J7" s="29" t="n">
        <v>0.006</v>
      </c>
      <c r="K7" s="61" t="n">
        <v>110</v>
      </c>
    </row>
    <row r="8">
      <c r="A8" s="8" t="inlineStr">
        <is>
          <t>Toyota Corolla</t>
        </is>
      </c>
      <c r="B8" s="29" t="n">
        <v>0.368</v>
      </c>
      <c r="C8" s="29" t="n">
        <v>0.025</v>
      </c>
      <c r="D8" s="30" t="n">
        <v>17659</v>
      </c>
      <c r="E8" s="29" t="n">
        <v>0.472</v>
      </c>
      <c r="F8" s="16" t="n">
        <v>5</v>
      </c>
      <c r="G8" s="66" t="n">
        <v>0.0737</v>
      </c>
      <c r="H8" s="16" t="n">
        <v>13</v>
      </c>
      <c r="I8" s="67" t="n">
        <v>0.02833</v>
      </c>
      <c r="J8" s="29" t="n">
        <v>0.02</v>
      </c>
      <c r="K8" s="61" t="n">
        <v>287</v>
      </c>
    </row>
    <row r="9">
      <c r="A9" s="8" t="inlineStr">
        <is>
          <t>Toyota Camry Hybrid</t>
        </is>
      </c>
      <c r="B9" s="29" t="n">
        <v>0.368</v>
      </c>
      <c r="C9" s="29" t="n">
        <v>0.032</v>
      </c>
      <c r="D9" s="30" t="n">
        <v>16500</v>
      </c>
      <c r="E9" s="29" t="n">
        <v>0.45</v>
      </c>
      <c r="F9" s="16" t="n">
        <v>5</v>
      </c>
      <c r="G9" s="66" t="n">
        <v>0.0737</v>
      </c>
      <c r="H9" s="16" t="n">
        <v>15</v>
      </c>
      <c r="I9" s="67" t="n">
        <v>0.02456</v>
      </c>
      <c r="J9" s="29" t="n">
        <v>0.016</v>
      </c>
      <c r="K9" s="61" t="n">
        <v>212</v>
      </c>
    </row>
    <row r="10">
      <c r="A10" s="8" t="inlineStr">
        <is>
          <t>Honda Civic</t>
        </is>
      </c>
      <c r="B10" s="29" t="n">
        <v>0.385</v>
      </c>
      <c r="C10" s="29" t="n">
        <v>0.024</v>
      </c>
      <c r="D10" s="30" t="n">
        <v>23789</v>
      </c>
      <c r="E10" s="29" t="n">
        <v>0.509</v>
      </c>
      <c r="F10" s="16" t="n">
        <v>5</v>
      </c>
      <c r="G10" s="66" t="n">
        <v>0.077</v>
      </c>
      <c r="H10" s="16" t="n">
        <v>15</v>
      </c>
      <c r="I10" s="67" t="n">
        <v>0.02567</v>
      </c>
      <c r="J10" s="29" t="n">
        <v>0.019</v>
      </c>
      <c r="K10" s="61" t="n">
        <v>278</v>
      </c>
    </row>
    <row r="11">
      <c r="A11" s="27" t="inlineStr">
        <is>
          <t>Nissan Leaf</t>
        </is>
      </c>
      <c r="B11" s="29" t="n">
        <v>0.386</v>
      </c>
      <c r="C11" s="29" t="n">
        <v>0.067</v>
      </c>
      <c r="D11" s="30" t="n">
        <v>11667</v>
      </c>
      <c r="E11" s="29" t="n">
        <v>0.403</v>
      </c>
      <c r="F11" s="16" t="n">
        <v>5</v>
      </c>
      <c r="G11" s="66" t="n">
        <v>0.0771</v>
      </c>
      <c r="H11" s="16" t="n">
        <v>30</v>
      </c>
      <c r="I11" s="67" t="n">
        <v>0.01286</v>
      </c>
      <c r="J11" s="29" t="n">
        <v>0</v>
      </c>
      <c r="K11" s="61" t="n">
        <v>81</v>
      </c>
    </row>
    <row r="12">
      <c r="A12" s="8" t="inlineStr">
        <is>
          <t>Hyundai Elantra</t>
        </is>
      </c>
      <c r="B12" s="29" t="n">
        <v>0.39</v>
      </c>
      <c r="C12" s="29" t="n">
        <v>0.033</v>
      </c>
      <c r="D12" s="30" t="n">
        <v>16000</v>
      </c>
      <c r="E12" s="29" t="n">
        <v>0.466</v>
      </c>
      <c r="F12" s="16" t="n">
        <v>5</v>
      </c>
      <c r="G12" s="66" t="n">
        <v>0.078</v>
      </c>
      <c r="H12" s="16" t="n">
        <v>14</v>
      </c>
      <c r="I12" s="67" t="n">
        <v>0.02785</v>
      </c>
      <c r="J12" s="29" t="n">
        <v>0.02</v>
      </c>
      <c r="K12" s="61" t="n">
        <v>254</v>
      </c>
    </row>
    <row r="13">
      <c r="A13" s="8" t="inlineStr">
        <is>
          <t>Honda Accord</t>
        </is>
      </c>
      <c r="B13" s="29" t="n">
        <v>0.39</v>
      </c>
      <c r="C13" s="29" t="n">
        <v>0.027</v>
      </c>
      <c r="D13" s="30" t="n">
        <v>16143</v>
      </c>
      <c r="E13" s="29" t="n">
        <v>0.478</v>
      </c>
      <c r="F13" s="16" t="n">
        <v>5</v>
      </c>
      <c r="G13" s="66" t="n">
        <v>0.078</v>
      </c>
      <c r="H13" s="16" t="n">
        <v>17</v>
      </c>
      <c r="I13" s="67" t="n">
        <v>0.02293</v>
      </c>
      <c r="J13" s="29" t="n">
        <v>0.021</v>
      </c>
      <c r="K13" s="61" t="n">
        <v>287</v>
      </c>
    </row>
    <row r="14">
      <c r="A14" s="8" t="inlineStr">
        <is>
          <t>Kia K4</t>
        </is>
      </c>
      <c r="B14" s="29" t="n">
        <v>0.396</v>
      </c>
      <c r="C14" s="29" t="n">
        <v>0.029</v>
      </c>
      <c r="D14" s="30" t="n">
        <v>20125</v>
      </c>
      <c r="E14" s="29" t="n">
        <v>0.488</v>
      </c>
      <c r="F14" s="16" t="n">
        <v>5</v>
      </c>
      <c r="G14" s="66" t="n">
        <v>0.07920000000000001</v>
      </c>
      <c r="H14" s="16" t="n">
        <v>15</v>
      </c>
      <c r="I14" s="67" t="n">
        <v>0.02639</v>
      </c>
      <c r="J14" s="29" t="n">
        <v>0.019</v>
      </c>
      <c r="K14" s="61" t="n">
        <v>261</v>
      </c>
    </row>
    <row r="15">
      <c r="A15" s="8" t="inlineStr">
        <is>
          <t>Mazda3 (SkyActiv)</t>
        </is>
      </c>
      <c r="B15" s="29" t="n">
        <v>0.396</v>
      </c>
      <c r="C15" s="29" t="n">
        <v>0.035</v>
      </c>
      <c r="D15" s="30" t="n">
        <v>15000</v>
      </c>
      <c r="E15" s="29" t="n">
        <v>0.491</v>
      </c>
      <c r="F15" s="16" t="n">
        <v>5</v>
      </c>
      <c r="G15" s="66" t="n">
        <v>0.07920000000000001</v>
      </c>
      <c r="H15" s="16" t="n">
        <v>20</v>
      </c>
      <c r="I15" s="67" t="n">
        <v>0.01981</v>
      </c>
      <c r="J15" s="29" t="n">
        <v>0.023</v>
      </c>
      <c r="K15" s="61" t="n">
        <v>296</v>
      </c>
    </row>
    <row r="16">
      <c r="A16" s="8" t="inlineStr">
        <is>
          <t>Toyota Camry</t>
        </is>
      </c>
      <c r="B16" s="29" t="n">
        <v>0.397</v>
      </c>
      <c r="C16" s="29" t="n">
        <v>0.027</v>
      </c>
      <c r="D16" s="30" t="n">
        <v>22400</v>
      </c>
      <c r="E16" s="29" t="n">
        <v>0.535</v>
      </c>
      <c r="F16" s="16" t="n">
        <v>5</v>
      </c>
      <c r="G16" s="66" t="n">
        <v>0.0794</v>
      </c>
      <c r="H16" s="16" t="n">
        <v>15</v>
      </c>
      <c r="I16" s="67" t="n">
        <v>0.02647</v>
      </c>
      <c r="J16" s="29" t="n">
        <v>0.021</v>
      </c>
      <c r="K16" s="61" t="n">
        <v>296</v>
      </c>
    </row>
    <row r="17">
      <c r="A17" s="8" t="inlineStr">
        <is>
          <t>Toyota RAV4 Hybrid</t>
        </is>
      </c>
      <c r="B17" s="29" t="n">
        <v>0.398</v>
      </c>
      <c r="C17" s="29" t="n">
        <v>0.029</v>
      </c>
      <c r="D17" s="30" t="n">
        <v>30444</v>
      </c>
      <c r="E17" s="29" t="n">
        <v>0.535</v>
      </c>
      <c r="F17" s="16" t="n">
        <v>5</v>
      </c>
      <c r="G17" s="66" t="n">
        <v>0.0796</v>
      </c>
      <c r="H17" s="16" t="n">
        <v>69</v>
      </c>
      <c r="I17" s="67" t="n">
        <v>0.00577</v>
      </c>
      <c r="J17" s="29" t="n">
        <v>0.015</v>
      </c>
      <c r="K17" s="61" t="n">
        <v>222</v>
      </c>
    </row>
    <row r="18">
      <c r="A18" s="8" t="inlineStr">
        <is>
          <t>Kia Niro (hybrid)</t>
        </is>
      </c>
      <c r="B18" s="29" t="n">
        <v>0.402</v>
      </c>
      <c r="C18" s="29" t="n">
        <v>0.041</v>
      </c>
      <c r="D18" s="30" t="n">
        <v>17000</v>
      </c>
      <c r="E18" s="29" t="n">
        <v>0.47</v>
      </c>
      <c r="F18" s="16" t="n">
        <v>5</v>
      </c>
      <c r="G18" s="66" t="n">
        <v>0.0804</v>
      </c>
      <c r="H18" s="16" t="n">
        <v>54</v>
      </c>
      <c r="I18" s="67" t="n">
        <v>0.00744</v>
      </c>
      <c r="J18" s="29" t="n">
        <v>0.014</v>
      </c>
      <c r="K18" s="61" t="n">
        <v>181</v>
      </c>
    </row>
    <row r="19">
      <c r="A19" s="27" t="inlineStr">
        <is>
          <t>Tesla Model 3</t>
        </is>
      </c>
      <c r="B19" s="29" t="n">
        <v>0.413</v>
      </c>
      <c r="C19" s="29" t="n">
        <v>0.064</v>
      </c>
      <c r="D19" s="30" t="n">
        <v>21500</v>
      </c>
      <c r="E19" s="29" t="n">
        <v>0.512</v>
      </c>
      <c r="F19" s="16" t="n">
        <v>5</v>
      </c>
      <c r="G19" s="66" t="n">
        <v>0.08260000000000001</v>
      </c>
      <c r="H19" s="16" t="n">
        <v>23</v>
      </c>
      <c r="I19" s="67" t="n">
        <v>0.01796</v>
      </c>
      <c r="J19" s="29" t="n">
        <v>0</v>
      </c>
      <c r="K19" s="61" t="n">
        <v>65</v>
      </c>
    </row>
    <row r="20">
      <c r="A20" s="8" t="inlineStr">
        <is>
          <t>Hyundai Sonata</t>
        </is>
      </c>
      <c r="B20" s="29" t="n">
        <v>0.422</v>
      </c>
      <c r="C20" s="29" t="n">
        <v>0.038</v>
      </c>
      <c r="D20" s="30" t="n">
        <v>15333</v>
      </c>
      <c r="E20" s="29" t="n">
        <v>0.495</v>
      </c>
      <c r="F20" s="16" t="n">
        <v>5</v>
      </c>
      <c r="G20" s="66" t="n">
        <v>0.08450000000000001</v>
      </c>
      <c r="H20" s="16" t="n">
        <v>16</v>
      </c>
      <c r="I20" s="67" t="n">
        <v>0.02639</v>
      </c>
      <c r="J20" s="29" t="n">
        <v>0.022</v>
      </c>
      <c r="K20" s="61" t="n">
        <v>278</v>
      </c>
    </row>
    <row r="21">
      <c r="A21" s="8" t="inlineStr">
        <is>
          <t>Toyota RAV4</t>
        </is>
      </c>
      <c r="B21" s="29" t="n">
        <v>0.431</v>
      </c>
      <c r="C21" s="29" t="n">
        <v>0.033</v>
      </c>
      <c r="D21" s="30" t="n">
        <v>20600</v>
      </c>
      <c r="E21" s="29" t="n">
        <v>0.526</v>
      </c>
      <c r="F21" s="16" t="n">
        <v>5</v>
      </c>
      <c r="G21" s="66" t="n">
        <v>0.0862</v>
      </c>
      <c r="H21" s="16" t="n">
        <v>69</v>
      </c>
      <c r="I21" s="67" t="n">
        <v>0.00625</v>
      </c>
      <c r="J21" s="29" t="n">
        <v>0.024</v>
      </c>
      <c r="K21" s="61" t="n">
        <v>317</v>
      </c>
    </row>
    <row r="22">
      <c r="A22" s="8" t="inlineStr">
        <is>
          <t>Fiat 500</t>
        </is>
      </c>
      <c r="B22" s="29" t="n">
        <v>0.434</v>
      </c>
      <c r="C22" s="29" t="n">
        <v>0.048</v>
      </c>
      <c r="D22" s="30" t="n">
        <v>10200</v>
      </c>
      <c r="E22" s="29" t="n">
        <v>0.469</v>
      </c>
      <c r="F22" s="16" t="n">
        <v>4</v>
      </c>
      <c r="G22" s="66" t="n">
        <v>0.1086</v>
      </c>
      <c r="H22" s="16" t="n">
        <v>30</v>
      </c>
      <c r="I22" s="67" t="n">
        <v>0.01448</v>
      </c>
      <c r="J22" s="29" t="n">
        <v>0.023</v>
      </c>
      <c r="K22" s="61" t="n">
        <v>269</v>
      </c>
    </row>
    <row r="23">
      <c r="A23" s="8" t="inlineStr">
        <is>
          <t>Honda CR-V</t>
        </is>
      </c>
      <c r="B23" s="29" t="n">
        <v>0.438</v>
      </c>
      <c r="C23" s="29" t="n">
        <v>0.032</v>
      </c>
      <c r="D23" s="30" t="n">
        <v>20500</v>
      </c>
      <c r="E23" s="29" t="n">
        <v>0.541</v>
      </c>
      <c r="F23" s="16" t="n">
        <v>5</v>
      </c>
      <c r="G23" s="66" t="n">
        <v>0.08749999999999999</v>
      </c>
      <c r="H23" s="16" t="n">
        <v>76</v>
      </c>
      <c r="I23" s="67" t="n">
        <v>0.00576</v>
      </c>
      <c r="J23" s="29" t="n">
        <v>0.024</v>
      </c>
      <c r="K23" s="61" t="n">
        <v>317</v>
      </c>
    </row>
    <row r="24">
      <c r="A24" s="27" t="inlineStr">
        <is>
          <t>VW ID.4 (AWD avail)</t>
        </is>
      </c>
      <c r="B24" s="29" t="n">
        <v>0.438</v>
      </c>
      <c r="C24" s="29" t="n">
        <v>0.066</v>
      </c>
      <c r="D24" s="30" t="n">
        <v>22500</v>
      </c>
      <c r="E24" s="29" t="n">
        <v>0.508</v>
      </c>
      <c r="F24" s="16" t="n">
        <v>5</v>
      </c>
      <c r="G24" s="66" t="n">
        <v>0.08749999999999999</v>
      </c>
      <c r="H24" s="16" t="n">
        <v>64</v>
      </c>
      <c r="I24" s="67" t="n">
        <v>0.00684</v>
      </c>
      <c r="J24" s="29" t="n">
        <v>0</v>
      </c>
      <c r="K24" s="61" t="n">
        <v>92</v>
      </c>
    </row>
    <row r="25">
      <c r="A25" s="27" t="inlineStr">
        <is>
          <t>Toyota RAV4 Prime</t>
        </is>
      </c>
      <c r="B25" s="29" t="n">
        <v>0.441</v>
      </c>
      <c r="C25" s="29" t="n">
        <v>0.036</v>
      </c>
      <c r="D25" s="30" t="n">
        <v>35000</v>
      </c>
      <c r="E25" s="29" t="n">
        <v>0.5600000000000001</v>
      </c>
      <c r="F25" s="16" t="n">
        <v>5</v>
      </c>
      <c r="G25" s="66" t="n">
        <v>0.0881</v>
      </c>
      <c r="H25" s="16" t="n">
        <v>63</v>
      </c>
      <c r="I25" s="67" t="n">
        <v>0.00699</v>
      </c>
      <c r="J25" s="29" t="n">
        <v>0.004</v>
      </c>
      <c r="K25" s="61" t="n">
        <v>129</v>
      </c>
    </row>
    <row r="26">
      <c r="A26" s="8" t="inlineStr">
        <is>
          <t>Kia Soul</t>
        </is>
      </c>
      <c r="B26" s="29" t="n">
        <v>0.441</v>
      </c>
      <c r="C26" s="29" t="n">
        <v>0.038</v>
      </c>
      <c r="D26" s="30" t="n">
        <v>14500</v>
      </c>
      <c r="E26" s="29" t="n">
        <v>0.503</v>
      </c>
      <c r="F26" s="16" t="n">
        <v>5</v>
      </c>
      <c r="G26" s="66" t="n">
        <v>0.0881</v>
      </c>
      <c r="H26" s="16" t="n">
        <v>62</v>
      </c>
      <c r="I26" s="67" t="n">
        <v>0.00711</v>
      </c>
      <c r="J26" s="29" t="n">
        <v>0.025</v>
      </c>
      <c r="K26" s="61" t="n">
        <v>306</v>
      </c>
    </row>
    <row r="27">
      <c r="A27" s="8" t="inlineStr">
        <is>
          <t>VW Passat</t>
        </is>
      </c>
      <c r="B27" s="29" t="n">
        <v>0.447</v>
      </c>
      <c r="C27" s="29" t="n">
        <v>0.042</v>
      </c>
      <c r="D27" s="30" t="n">
        <v>14200</v>
      </c>
      <c r="E27" s="29" t="n">
        <v>0.516</v>
      </c>
      <c r="F27" s="16" t="n">
        <v>5</v>
      </c>
      <c r="G27" s="66" t="n">
        <v>0.08939999999999999</v>
      </c>
      <c r="H27" s="16" t="n">
        <v>16</v>
      </c>
      <c r="I27" s="67" t="n">
        <v>0.02792</v>
      </c>
      <c r="J27" s="29" t="n">
        <v>0.026</v>
      </c>
      <c r="K27" s="61" t="n">
        <v>317</v>
      </c>
    </row>
    <row r="28">
      <c r="A28" s="8" t="inlineStr">
        <is>
          <t>Buick Encore</t>
        </is>
      </c>
      <c r="B28" s="29" t="n">
        <v>0.45</v>
      </c>
      <c r="C28" s="29" t="n">
        <v>0.035</v>
      </c>
      <c r="D28" s="30" t="n">
        <v>14800</v>
      </c>
      <c r="E28" s="29" t="n">
        <v>0.511</v>
      </c>
      <c r="F28" s="16" t="n">
        <v>5</v>
      </c>
      <c r="G28" s="66" t="n">
        <v>0.0901</v>
      </c>
      <c r="H28" s="16" t="n">
        <v>48</v>
      </c>
      <c r="I28" s="67" t="n">
        <v>0.009379999999999999</v>
      </c>
      <c r="J28" s="29" t="n">
        <v>0.026</v>
      </c>
      <c r="K28" s="61" t="n">
        <v>317</v>
      </c>
    </row>
    <row r="29">
      <c r="A29" s="8" t="inlineStr">
        <is>
          <t>Hyundai Kona</t>
        </is>
      </c>
      <c r="B29" s="29" t="n">
        <v>0.456</v>
      </c>
      <c r="C29" s="29" t="n">
        <v>0.037</v>
      </c>
      <c r="D29" s="30" t="n">
        <v>15000</v>
      </c>
      <c r="E29" s="29" t="n">
        <v>0.504</v>
      </c>
      <c r="F29" s="16" t="n">
        <v>5</v>
      </c>
      <c r="G29" s="66" t="n">
        <v>0.0912</v>
      </c>
      <c r="H29" s="16" t="n">
        <v>45</v>
      </c>
      <c r="I29" s="67" t="n">
        <v>0.01013</v>
      </c>
      <c r="J29" s="29" t="n">
        <v>0.025</v>
      </c>
      <c r="K29" s="61" t="n">
        <v>296</v>
      </c>
    </row>
    <row r="30">
      <c r="A30" s="8" t="inlineStr">
        <is>
          <t>Mazda CX-5</t>
        </is>
      </c>
      <c r="B30" s="29" t="n">
        <v>0.461</v>
      </c>
      <c r="C30" s="29" t="n">
        <v>0.032</v>
      </c>
      <c r="D30" s="30" t="n">
        <v>20600</v>
      </c>
      <c r="E30" s="29" t="n">
        <v>0.5649999999999999</v>
      </c>
      <c r="F30" s="16" t="n">
        <v>5</v>
      </c>
      <c r="G30" s="66" t="n">
        <v>0.0921</v>
      </c>
      <c r="H30" s="16" t="n">
        <v>59</v>
      </c>
      <c r="I30" s="67" t="n">
        <v>0.00781</v>
      </c>
      <c r="J30" s="29" t="n">
        <v>0.027</v>
      </c>
      <c r="K30" s="61" t="n">
        <v>342</v>
      </c>
    </row>
    <row r="31">
      <c r="A31" s="8" t="inlineStr">
        <is>
          <t>Toyota Highlander Hybrid</t>
        </is>
      </c>
      <c r="B31" s="29" t="n">
        <v>0.47</v>
      </c>
      <c r="C31" s="29" t="n">
        <v>0.042</v>
      </c>
      <c r="D31" s="30" t="n">
        <v>32000</v>
      </c>
      <c r="E31" s="29" t="n">
        <v>0.629</v>
      </c>
      <c r="F31" s="16" t="n">
        <v>7</v>
      </c>
      <c r="G31" s="66" t="n">
        <v>0.06710000000000001</v>
      </c>
      <c r="H31" s="16" t="n">
        <v>84</v>
      </c>
      <c r="I31" s="67" t="n">
        <v>0.00559</v>
      </c>
      <c r="J31" s="29" t="n">
        <v>0.019</v>
      </c>
      <c r="K31" s="61" t="n">
        <v>254</v>
      </c>
    </row>
    <row r="32">
      <c r="A32" s="8" t="inlineStr">
        <is>
          <t>Subaru Outback</t>
        </is>
      </c>
      <c r="B32" s="29" t="n">
        <v>0.471</v>
      </c>
      <c r="C32" s="29" t="n">
        <v>0.046</v>
      </c>
      <c r="D32" s="30" t="n">
        <v>18800</v>
      </c>
      <c r="E32" s="29" t="n">
        <v>0.549</v>
      </c>
      <c r="F32" s="16" t="n">
        <v>5</v>
      </c>
      <c r="G32" s="66" t="n">
        <v>0.0941</v>
      </c>
      <c r="H32" s="16" t="n">
        <v>76</v>
      </c>
      <c r="I32" s="67" t="n">
        <v>0.00619</v>
      </c>
      <c r="J32" s="29" t="n">
        <v>0.025</v>
      </c>
      <c r="K32" s="61" t="n">
        <v>306</v>
      </c>
    </row>
    <row r="33">
      <c r="A33" s="8" t="inlineStr">
        <is>
          <t>Subaru Forester</t>
        </is>
      </c>
      <c r="B33" s="29" t="n">
        <v>0.471</v>
      </c>
      <c r="C33" s="29" t="n">
        <v>0.037</v>
      </c>
      <c r="D33" s="30" t="n">
        <v>22200</v>
      </c>
      <c r="E33" s="29" t="n">
        <v>0.551</v>
      </c>
      <c r="F33" s="16" t="n">
        <v>5</v>
      </c>
      <c r="G33" s="66" t="n">
        <v>0.09429999999999999</v>
      </c>
      <c r="H33" s="16" t="n">
        <v>76</v>
      </c>
      <c r="I33" s="67" t="n">
        <v>0.0062</v>
      </c>
      <c r="J33" s="29" t="n">
        <v>0.024</v>
      </c>
      <c r="K33" s="61" t="n">
        <v>306</v>
      </c>
    </row>
    <row r="34">
      <c r="A34" s="8" t="inlineStr">
        <is>
          <t>Toyota Sienna Hybrid</t>
        </is>
      </c>
      <c r="B34" s="29" t="n">
        <v>0.473</v>
      </c>
      <c r="C34" s="29" t="n">
        <v>0.041</v>
      </c>
      <c r="D34" s="30" t="n">
        <v>35000</v>
      </c>
      <c r="E34" s="29" t="n">
        <v>0.616</v>
      </c>
      <c r="F34" s="16" t="n">
        <v>8</v>
      </c>
      <c r="G34" s="66" t="n">
        <v>0.0591</v>
      </c>
      <c r="H34" s="16" t="n">
        <v>101</v>
      </c>
      <c r="I34" s="67" t="n">
        <v>0.00468</v>
      </c>
      <c r="J34" s="29" t="n">
        <v>0.018</v>
      </c>
      <c r="K34" s="61" t="n">
        <v>247</v>
      </c>
    </row>
    <row r="35">
      <c r="A35" s="8" t="inlineStr">
        <is>
          <t>Toyota Tacoma</t>
        </is>
      </c>
      <c r="B35" s="29" t="n">
        <v>0.481</v>
      </c>
      <c r="C35" s="29" t="n">
        <v>0.038</v>
      </c>
      <c r="D35" s="30" t="n">
        <v>29333</v>
      </c>
      <c r="E35" s="29" t="n">
        <v>0.6840000000000001</v>
      </c>
      <c r="F35" s="16" t="n">
        <v>5</v>
      </c>
      <c r="G35" s="66" t="n">
        <v>0.09619999999999999</v>
      </c>
      <c r="H35" s="16" t="n">
        <v>40</v>
      </c>
      <c r="I35" s="67" t="n">
        <v>0.01203</v>
      </c>
      <c r="J35" s="29" t="n">
        <v>0.03</v>
      </c>
      <c r="K35" s="61" t="n">
        <v>444</v>
      </c>
    </row>
    <row r="36">
      <c r="A36" s="8" t="inlineStr">
        <is>
          <t>Nissan Rogue</t>
        </is>
      </c>
      <c r="B36" s="29" t="n">
        <v>0.486</v>
      </c>
      <c r="C36" s="29" t="n">
        <v>0.043</v>
      </c>
      <c r="D36" s="30" t="n">
        <v>18800</v>
      </c>
      <c r="E36" s="29" t="n">
        <v>0.536</v>
      </c>
      <c r="F36" s="16" t="n">
        <v>5</v>
      </c>
      <c r="G36" s="66" t="n">
        <v>0.09719999999999999</v>
      </c>
      <c r="H36" s="16" t="n">
        <v>74</v>
      </c>
      <c r="I36" s="67" t="n">
        <v>0.00656</v>
      </c>
      <c r="J36" s="29" t="n">
        <v>0.026</v>
      </c>
      <c r="K36" s="61" t="n">
        <v>306</v>
      </c>
    </row>
    <row r="37">
      <c r="A37" s="8" t="inlineStr">
        <is>
          <t>Chevy Equinox</t>
        </is>
      </c>
      <c r="B37" s="29" t="n">
        <v>0.488</v>
      </c>
      <c r="C37" s="29" t="n">
        <v>0.043</v>
      </c>
      <c r="D37" s="30" t="n">
        <v>17200</v>
      </c>
      <c r="E37" s="29" t="n">
        <v>0.535</v>
      </c>
      <c r="F37" s="16" t="n">
        <v>5</v>
      </c>
      <c r="G37" s="66" t="n">
        <v>0.09760000000000001</v>
      </c>
      <c r="H37" s="16" t="n">
        <v>64</v>
      </c>
      <c r="I37" s="67" t="n">
        <v>0.00762</v>
      </c>
      <c r="J37" s="29" t="n">
        <v>0.028</v>
      </c>
      <c r="K37" s="61" t="n">
        <v>329</v>
      </c>
    </row>
    <row r="38">
      <c r="A38" s="8" t="inlineStr">
        <is>
          <t>Toyota Sienna (V6)</t>
        </is>
      </c>
      <c r="B38" s="29" t="n">
        <v>0.493</v>
      </c>
      <c r="C38" s="29" t="n">
        <v>0.029</v>
      </c>
      <c r="D38" s="30" t="n">
        <v>22333</v>
      </c>
      <c r="E38" s="29" t="n">
        <v>0.639</v>
      </c>
      <c r="F38" s="16" t="n">
        <v>8</v>
      </c>
      <c r="G38" s="66" t="n">
        <v>0.0616</v>
      </c>
      <c r="H38" s="16" t="n">
        <v>101</v>
      </c>
      <c r="I38" s="67" t="n">
        <v>0.00488</v>
      </c>
      <c r="J38" s="29" t="n">
        <v>0.034</v>
      </c>
      <c r="K38" s="61" t="n">
        <v>468</v>
      </c>
    </row>
    <row r="39">
      <c r="A39" s="8" t="inlineStr">
        <is>
          <t>Mini Cooper</t>
        </is>
      </c>
      <c r="B39" s="29" t="n">
        <v>0.493</v>
      </c>
      <c r="C39" s="29" t="n">
        <v>0.052</v>
      </c>
      <c r="D39" s="30" t="n">
        <v>18200</v>
      </c>
      <c r="E39" s="29" t="n">
        <v>0.554</v>
      </c>
      <c r="F39" s="16" t="n">
        <v>4</v>
      </c>
      <c r="G39" s="66" t="n">
        <v>0.1234</v>
      </c>
      <c r="H39" s="16" t="n">
        <v>34</v>
      </c>
      <c r="I39" s="67" t="n">
        <v>0.01451</v>
      </c>
      <c r="J39" s="29" t="n">
        <v>0.024</v>
      </c>
      <c r="K39" s="61" t="n">
        <v>296</v>
      </c>
    </row>
    <row r="40">
      <c r="A40" s="8" t="inlineStr">
        <is>
          <t>Ford Ranger (old compact)</t>
        </is>
      </c>
      <c r="B40" s="29" t="n">
        <v>0.494</v>
      </c>
      <c r="C40" s="29" t="n">
        <v>0.04</v>
      </c>
      <c r="D40" s="30" t="n">
        <v>11500</v>
      </c>
      <c r="E40" s="29" t="n">
        <v>0.555</v>
      </c>
      <c r="F40" s="16" t="n">
        <v>5</v>
      </c>
      <c r="G40" s="66" t="n">
        <v>0.0989</v>
      </c>
      <c r="H40" s="16" t="n">
        <v>35</v>
      </c>
      <c r="I40" s="67" t="n">
        <v>0.01412</v>
      </c>
      <c r="J40" s="29" t="n">
        <v>0.032</v>
      </c>
      <c r="K40" s="61" t="n">
        <v>423</v>
      </c>
    </row>
    <row r="41">
      <c r="A41" s="8" t="inlineStr">
        <is>
          <t>Fiat 500X</t>
        </is>
      </c>
      <c r="B41" s="29" t="n">
        <v>0.5</v>
      </c>
      <c r="C41" s="29" t="n">
        <v>0.033</v>
      </c>
      <c r="D41" s="30" t="n">
        <v>14800</v>
      </c>
      <c r="E41" s="29" t="n">
        <v>0.538</v>
      </c>
      <c r="F41" s="16" t="n">
        <v>5</v>
      </c>
      <c r="G41" s="66" t="n">
        <v>0.1</v>
      </c>
      <c r="H41" s="16" t="n">
        <v>50</v>
      </c>
      <c r="I41" s="67" t="n">
        <v>0.01</v>
      </c>
      <c r="J41" s="29" t="n">
        <v>0.029</v>
      </c>
      <c r="K41" s="61" t="n">
        <v>342</v>
      </c>
    </row>
    <row r="42">
      <c r="A42" s="8" t="inlineStr">
        <is>
          <t>VW GTI</t>
        </is>
      </c>
      <c r="B42" s="29" t="n">
        <v>0.504</v>
      </c>
      <c r="C42" s="29" t="n">
        <v>0.047</v>
      </c>
      <c r="D42" s="30" t="n">
        <v>19000</v>
      </c>
      <c r="E42" s="29" t="n">
        <v>0.585</v>
      </c>
      <c r="F42" s="16" t="n">
        <v>5</v>
      </c>
      <c r="G42" s="66" t="n">
        <v>0.1008</v>
      </c>
      <c r="H42" s="16" t="n">
        <v>53</v>
      </c>
      <c r="I42" s="67" t="n">
        <v>0.009509999999999999</v>
      </c>
      <c r="J42" s="29" t="n">
        <v>0.027</v>
      </c>
      <c r="K42" s="61" t="n">
        <v>329</v>
      </c>
    </row>
    <row r="43">
      <c r="A43" s="8" t="inlineStr">
        <is>
          <t>Kia Sportage</t>
        </is>
      </c>
      <c r="B43" s="29" t="n">
        <v>0.505</v>
      </c>
      <c r="C43" s="29" t="n">
        <v>0.046</v>
      </c>
      <c r="D43" s="30" t="n">
        <v>15667</v>
      </c>
      <c r="E43" s="29" t="n">
        <v>0.551</v>
      </c>
      <c r="F43" s="16" t="n">
        <v>5</v>
      </c>
      <c r="G43" s="66" t="n">
        <v>0.101</v>
      </c>
      <c r="H43" s="16" t="n">
        <v>60</v>
      </c>
      <c r="I43" s="67" t="n">
        <v>0.00842</v>
      </c>
      <c r="J43" s="29" t="n">
        <v>0.029</v>
      </c>
      <c r="K43" s="61" t="n">
        <v>342</v>
      </c>
    </row>
    <row r="44">
      <c r="A44" s="8" t="inlineStr">
        <is>
          <t>Ford Escape</t>
        </is>
      </c>
      <c r="B44" s="29" t="n">
        <v>0.506</v>
      </c>
      <c r="C44" s="29" t="n">
        <v>0.046</v>
      </c>
      <c r="D44" s="30" t="n">
        <v>15000</v>
      </c>
      <c r="E44" s="29" t="n">
        <v>0.55</v>
      </c>
      <c r="F44" s="16" t="n">
        <v>5</v>
      </c>
      <c r="G44" s="66" t="n">
        <v>0.1012</v>
      </c>
      <c r="H44" s="16" t="n">
        <v>65</v>
      </c>
      <c r="I44" s="67" t="n">
        <v>0.00779</v>
      </c>
      <c r="J44" s="29" t="n">
        <v>0.03</v>
      </c>
      <c r="K44" s="61" t="n">
        <v>342</v>
      </c>
    </row>
    <row r="45">
      <c r="A45" s="8" t="inlineStr">
        <is>
          <t>Toyota Highlander</t>
        </is>
      </c>
      <c r="B45" s="29" t="n">
        <v>0.512</v>
      </c>
      <c r="C45" s="29" t="n">
        <v>0.043</v>
      </c>
      <c r="D45" s="30" t="n">
        <v>25000</v>
      </c>
      <c r="E45" s="29" t="n">
        <v>0.646</v>
      </c>
      <c r="F45" s="16" t="n">
        <v>7</v>
      </c>
      <c r="G45" s="66" t="n">
        <v>0.0731</v>
      </c>
      <c r="H45" s="16" t="n">
        <v>84</v>
      </c>
      <c r="I45" s="67" t="n">
        <v>0.00609</v>
      </c>
      <c r="J45" s="29" t="n">
        <v>0.03</v>
      </c>
      <c r="K45" s="61" t="n">
        <v>386</v>
      </c>
    </row>
    <row r="46">
      <c r="A46" s="8" t="inlineStr">
        <is>
          <t>Hyundai Tucson</t>
        </is>
      </c>
      <c r="B46" s="29" t="n">
        <v>0.519</v>
      </c>
      <c r="C46" s="29" t="n">
        <v>0.04</v>
      </c>
      <c r="D46" s="30" t="n">
        <v>19541</v>
      </c>
      <c r="E46" s="29" t="n">
        <v>0.555</v>
      </c>
      <c r="F46" s="16" t="n">
        <v>5</v>
      </c>
      <c r="G46" s="66" t="n">
        <v>0.1039</v>
      </c>
      <c r="H46" s="16" t="n">
        <v>74</v>
      </c>
      <c r="I46" s="67" t="n">
        <v>0.00702</v>
      </c>
      <c r="J46" s="29" t="n">
        <v>0.03</v>
      </c>
      <c r="K46" s="61" t="n">
        <v>355</v>
      </c>
    </row>
    <row r="47">
      <c r="A47" s="8" t="inlineStr">
        <is>
          <t>Toyota 4Runner</t>
        </is>
      </c>
      <c r="B47" s="29" t="n">
        <v>0.521</v>
      </c>
      <c r="C47" s="29" t="n">
        <v>0.037</v>
      </c>
      <c r="D47" s="30" t="n">
        <v>36333</v>
      </c>
      <c r="E47" s="29" t="n">
        <v>0.766</v>
      </c>
      <c r="F47" s="16" t="n">
        <v>7</v>
      </c>
      <c r="G47" s="66" t="n">
        <v>0.0745</v>
      </c>
      <c r="H47" s="16" t="n">
        <v>89</v>
      </c>
      <c r="I47" s="67" t="n">
        <v>0.00586</v>
      </c>
      <c r="J47" s="29" t="n">
        <v>0.034</v>
      </c>
      <c r="K47" s="61" t="n">
        <v>523</v>
      </c>
    </row>
    <row r="48">
      <c r="A48" s="8" t="inlineStr">
        <is>
          <t>Honda Odyssey</t>
        </is>
      </c>
      <c r="B48" s="29" t="n">
        <v>0.522</v>
      </c>
      <c r="C48" s="29" t="n">
        <v>0.046</v>
      </c>
      <c r="D48" s="30" t="n">
        <v>20333</v>
      </c>
      <c r="E48" s="29" t="n">
        <v>0.623</v>
      </c>
      <c r="F48" s="16" t="n">
        <v>8</v>
      </c>
      <c r="G48" s="66" t="n">
        <v>0.0653</v>
      </c>
      <c r="H48" s="16" t="n">
        <v>144</v>
      </c>
      <c r="I48" s="67" t="n">
        <v>0.00363</v>
      </c>
      <c r="J48" s="29" t="n">
        <v>0.032</v>
      </c>
      <c r="K48" s="61" t="n">
        <v>404</v>
      </c>
    </row>
    <row r="49">
      <c r="A49" s="8" t="inlineStr">
        <is>
          <t>Kia Sorento</t>
        </is>
      </c>
      <c r="B49" s="29" t="n">
        <v>0.522</v>
      </c>
      <c r="C49" s="29" t="n">
        <v>0.046</v>
      </c>
      <c r="D49" s="30" t="n">
        <v>18333</v>
      </c>
      <c r="E49" s="29" t="n">
        <v>0.596</v>
      </c>
      <c r="F49" s="16" t="n">
        <v>7</v>
      </c>
      <c r="G49" s="66" t="n">
        <v>0.0746</v>
      </c>
      <c r="H49" s="16" t="n">
        <v>75</v>
      </c>
      <c r="I49" s="67" t="n">
        <v>0.00697</v>
      </c>
      <c r="J49" s="29" t="n">
        <v>0.031</v>
      </c>
      <c r="K49" s="61" t="n">
        <v>370</v>
      </c>
    </row>
    <row r="50">
      <c r="A50" s="8" t="inlineStr">
        <is>
          <t>Hyundai Santa Fe</t>
        </is>
      </c>
      <c r="B50" s="29" t="n">
        <v>0.524</v>
      </c>
      <c r="C50" s="29" t="n">
        <v>0.052</v>
      </c>
      <c r="D50" s="30" t="n">
        <v>16667</v>
      </c>
      <c r="E50" s="29" t="n">
        <v>0.577</v>
      </c>
      <c r="F50" s="16" t="n">
        <v>5</v>
      </c>
      <c r="G50" s="66" t="n">
        <v>0.1047</v>
      </c>
      <c r="H50" s="16" t="n">
        <v>72</v>
      </c>
      <c r="I50" s="67" t="n">
        <v>0.00727</v>
      </c>
      <c r="J50" s="29" t="n">
        <v>0.03</v>
      </c>
      <c r="K50" s="61" t="n">
        <v>355</v>
      </c>
    </row>
    <row r="51">
      <c r="A51" s="8" t="inlineStr">
        <is>
          <t>VW Tiguan</t>
        </is>
      </c>
      <c r="B51" s="29" t="n">
        <v>0.525</v>
      </c>
      <c r="C51" s="29" t="n">
        <v>0.047</v>
      </c>
      <c r="D51" s="30" t="n">
        <v>16800</v>
      </c>
      <c r="E51" s="29" t="n">
        <v>0.575</v>
      </c>
      <c r="F51" s="16" t="n">
        <v>5</v>
      </c>
      <c r="G51" s="66" t="n">
        <v>0.105</v>
      </c>
      <c r="H51" s="16" t="n">
        <v>74</v>
      </c>
      <c r="I51" s="67" t="n">
        <v>0.00709</v>
      </c>
      <c r="J51" s="29" t="n">
        <v>0.031</v>
      </c>
      <c r="K51" s="61" t="n">
        <v>370</v>
      </c>
    </row>
    <row r="52">
      <c r="A52" s="27" t="inlineStr">
        <is>
          <t>Chrysler Pacifica PHEV</t>
        </is>
      </c>
      <c r="B52" s="29" t="n">
        <v>0.539</v>
      </c>
      <c r="C52" s="29" t="n">
        <v>0.058</v>
      </c>
      <c r="D52" s="30" t="n">
        <v>22000</v>
      </c>
      <c r="E52" s="29" t="n">
        <v>0.576</v>
      </c>
      <c r="F52" s="16" t="n">
        <v>7</v>
      </c>
      <c r="G52" s="66" t="n">
        <v>0.0771</v>
      </c>
      <c r="H52" s="16" t="n">
        <v>141</v>
      </c>
      <c r="I52" s="67" t="n">
        <v>0.00383</v>
      </c>
      <c r="J52" s="29" t="n">
        <v>0.014</v>
      </c>
      <c r="K52" s="61" t="n">
        <v>210</v>
      </c>
    </row>
    <row r="53">
      <c r="A53" s="8" t="inlineStr">
        <is>
          <t>Subaru Ascent</t>
        </is>
      </c>
      <c r="B53" s="29" t="n">
        <v>0.544</v>
      </c>
      <c r="C53" s="29" t="n">
        <v>0.038</v>
      </c>
      <c r="D53" s="30" t="n">
        <v>23400</v>
      </c>
      <c r="E53" s="29" t="n">
        <v>0.626</v>
      </c>
      <c r="F53" s="16" t="n">
        <v>7</v>
      </c>
      <c r="G53" s="66" t="n">
        <v>0.07770000000000001</v>
      </c>
      <c r="H53" s="16" t="n">
        <v>75</v>
      </c>
      <c r="I53" s="67" t="n">
        <v>0.00725</v>
      </c>
      <c r="J53" s="29" t="n">
        <v>0.033</v>
      </c>
      <c r="K53" s="61" t="n">
        <v>404</v>
      </c>
    </row>
    <row r="54">
      <c r="A54" s="8" t="inlineStr">
        <is>
          <t>Ford Ranger (2019+ midsize)</t>
        </is>
      </c>
      <c r="B54" s="29" t="n">
        <v>0.549</v>
      </c>
      <c r="C54" s="29" t="n">
        <v>0.036</v>
      </c>
      <c r="D54" s="30" t="n">
        <v>23000</v>
      </c>
      <c r="E54" s="29" t="n">
        <v>0.639</v>
      </c>
      <c r="F54" s="16" t="n">
        <v>5</v>
      </c>
      <c r="G54" s="66" t="n">
        <v>0.1098</v>
      </c>
      <c r="H54" s="16" t="n">
        <v>40</v>
      </c>
      <c r="I54" s="67" t="n">
        <v>0.01372</v>
      </c>
      <c r="J54" s="29" t="n">
        <v>0.033</v>
      </c>
      <c r="K54" s="61" t="n">
        <v>423</v>
      </c>
    </row>
    <row r="55">
      <c r="A55" s="8" t="inlineStr">
        <is>
          <t>Honda Pilot</t>
        </is>
      </c>
      <c r="B55" s="29" t="n">
        <v>0.549</v>
      </c>
      <c r="C55" s="29" t="n">
        <v>0.042</v>
      </c>
      <c r="D55" s="30" t="n">
        <v>22500</v>
      </c>
      <c r="E55" s="29" t="n">
        <v>0.657</v>
      </c>
      <c r="F55" s="16" t="n">
        <v>8</v>
      </c>
      <c r="G55" s="66" t="n">
        <v>0.0687</v>
      </c>
      <c r="H55" s="16" t="n">
        <v>87</v>
      </c>
      <c r="I55" s="67" t="n">
        <v>0.00632</v>
      </c>
      <c r="J55" s="29" t="n">
        <v>0.036</v>
      </c>
      <c r="K55" s="61" t="n">
        <v>444</v>
      </c>
    </row>
    <row r="56">
      <c r="A56" s="8" t="inlineStr">
        <is>
          <t>Mini Countryman</t>
        </is>
      </c>
      <c r="B56" s="29" t="n">
        <v>0.551</v>
      </c>
      <c r="C56" s="29" t="n">
        <v>0.056</v>
      </c>
      <c r="D56" s="30" t="n">
        <v>19000</v>
      </c>
      <c r="E56" s="29" t="n">
        <v>0.612</v>
      </c>
      <c r="F56" s="16" t="n">
        <v>5</v>
      </c>
      <c r="G56" s="66" t="n">
        <v>0.1101</v>
      </c>
      <c r="H56" s="16" t="n">
        <v>48</v>
      </c>
      <c r="I56" s="67" t="n">
        <v>0.01147</v>
      </c>
      <c r="J56" s="29" t="n">
        <v>0.029</v>
      </c>
      <c r="K56" s="61" t="n">
        <v>342</v>
      </c>
    </row>
    <row r="57">
      <c r="A57" s="8" t="inlineStr">
        <is>
          <t>Toyota Sequoia</t>
        </is>
      </c>
      <c r="B57" s="29" t="n">
        <v>0.5570000000000001</v>
      </c>
      <c r="C57" s="29" t="n">
        <v>0.041</v>
      </c>
      <c r="D57" s="30" t="n">
        <v>32250</v>
      </c>
      <c r="E57" s="29" t="n">
        <v>0.805</v>
      </c>
      <c r="F57" s="16" t="n">
        <v>8</v>
      </c>
      <c r="G57" s="66" t="n">
        <v>0.0696</v>
      </c>
      <c r="H57" s="16" t="n">
        <v>120</v>
      </c>
      <c r="I57" s="67" t="n">
        <v>0.00464</v>
      </c>
      <c r="J57" s="29" t="n">
        <v>0.04</v>
      </c>
      <c r="K57" s="61" t="n">
        <v>592</v>
      </c>
    </row>
    <row r="58">
      <c r="A58" s="8" t="inlineStr">
        <is>
          <t>Hyundai Palisade</t>
        </is>
      </c>
      <c r="B58" s="29" t="n">
        <v>0.5639999999999999</v>
      </c>
      <c r="C58" s="29" t="n">
        <v>0.039</v>
      </c>
      <c r="D58" s="30" t="n">
        <v>31000</v>
      </c>
      <c r="E58" s="29" t="n">
        <v>0.6919999999999999</v>
      </c>
      <c r="F58" s="16" t="n">
        <v>7</v>
      </c>
      <c r="G58" s="66" t="n">
        <v>0.0806</v>
      </c>
      <c r="H58" s="16" t="n">
        <v>86</v>
      </c>
      <c r="I58" s="67" t="n">
        <v>0.00656</v>
      </c>
      <c r="J58" s="29" t="n">
        <v>0.033</v>
      </c>
      <c r="K58" s="61" t="n">
        <v>423</v>
      </c>
    </row>
    <row r="59">
      <c r="A59" s="8" t="inlineStr">
        <is>
          <t>Chrysler Pacifica</t>
        </is>
      </c>
      <c r="B59" s="29" t="n">
        <v>0.5659999999999999</v>
      </c>
      <c r="C59" s="29" t="n">
        <v>0.06</v>
      </c>
      <c r="D59" s="30" t="n">
        <v>16333</v>
      </c>
      <c r="E59" s="29" t="n">
        <v>0.604</v>
      </c>
      <c r="F59" s="16" t="n">
        <v>7</v>
      </c>
      <c r="G59" s="66" t="n">
        <v>0.0808</v>
      </c>
      <c r="H59" s="16" t="n">
        <v>141</v>
      </c>
      <c r="I59" s="67" t="n">
        <v>0.00401</v>
      </c>
      <c r="J59" s="29" t="n">
        <v>0.035</v>
      </c>
      <c r="K59" s="61" t="n">
        <v>404</v>
      </c>
    </row>
    <row r="60">
      <c r="A60" s="8" t="inlineStr">
        <is>
          <t>Chevy Colorado</t>
        </is>
      </c>
      <c r="B60" s="29" t="n">
        <v>0.57</v>
      </c>
      <c r="C60" s="29" t="n">
        <v>0.04</v>
      </c>
      <c r="D60" s="30" t="n">
        <v>23500</v>
      </c>
      <c r="E60" s="29" t="n">
        <v>0.6820000000000001</v>
      </c>
      <c r="F60" s="16" t="n">
        <v>5</v>
      </c>
      <c r="G60" s="66" t="n">
        <v>0.1139</v>
      </c>
      <c r="H60" s="16" t="n">
        <v>40</v>
      </c>
      <c r="I60" s="67" t="n">
        <v>0.01424</v>
      </c>
      <c r="J60" s="29" t="n">
        <v>0.037</v>
      </c>
      <c r="K60" s="61" t="n">
        <v>468</v>
      </c>
    </row>
    <row r="61">
      <c r="A61" s="8" t="inlineStr">
        <is>
          <t>Kia Telluride</t>
        </is>
      </c>
      <c r="B61" s="29" t="n">
        <v>0.574</v>
      </c>
      <c r="C61" s="29" t="n">
        <v>0.036</v>
      </c>
      <c r="D61" s="30" t="n">
        <v>33000</v>
      </c>
      <c r="E61" s="29" t="n">
        <v>0.702</v>
      </c>
      <c r="F61" s="16" t="n">
        <v>7</v>
      </c>
      <c r="G61" s="66" t="n">
        <v>0.082</v>
      </c>
      <c r="H61" s="16" t="n">
        <v>87</v>
      </c>
      <c r="I61" s="67" t="n">
        <v>0.00659</v>
      </c>
      <c r="J61" s="29" t="n">
        <v>0.033</v>
      </c>
      <c r="K61" s="61" t="n">
        <v>423</v>
      </c>
    </row>
    <row r="62">
      <c r="A62" s="8" t="inlineStr">
        <is>
          <t>Mazda CX-90</t>
        </is>
      </c>
      <c r="B62" s="29" t="n">
        <v>0.582</v>
      </c>
      <c r="C62" s="29" t="n">
        <v>0.036</v>
      </c>
      <c r="D62" s="30" t="n">
        <v>38750</v>
      </c>
      <c r="E62" s="29" t="n">
        <v>0.669</v>
      </c>
      <c r="F62" s="16" t="n">
        <v>7</v>
      </c>
      <c r="G62" s="66" t="n">
        <v>0.0832</v>
      </c>
      <c r="H62" s="16" t="n">
        <v>75</v>
      </c>
      <c r="I62" s="67" t="n">
        <v>0.00776</v>
      </c>
      <c r="J62" s="29" t="n">
        <v>0.028</v>
      </c>
      <c r="K62" s="61" t="n">
        <v>370</v>
      </c>
    </row>
    <row r="63">
      <c r="A63" s="8" t="inlineStr">
        <is>
          <t>Chevy Traverse</t>
        </is>
      </c>
      <c r="B63" s="29" t="n">
        <v>0.583</v>
      </c>
      <c r="C63" s="29" t="n">
        <v>0.055</v>
      </c>
      <c r="D63" s="30" t="n">
        <v>20000</v>
      </c>
      <c r="E63" s="29" t="n">
        <v>0.644</v>
      </c>
      <c r="F63" s="16" t="n">
        <v>7</v>
      </c>
      <c r="G63" s="66" t="n">
        <v>0.0833</v>
      </c>
      <c r="H63" s="16" t="n">
        <v>98</v>
      </c>
      <c r="I63" s="67" t="n">
        <v>0.00595</v>
      </c>
      <c r="J63" s="29" t="n">
        <v>0.036</v>
      </c>
      <c r="K63" s="61" t="n">
        <v>423</v>
      </c>
    </row>
    <row r="64">
      <c r="A64" s="8" t="inlineStr">
        <is>
          <t>VW Atlas</t>
        </is>
      </c>
      <c r="B64" s="29" t="n">
        <v>0.589</v>
      </c>
      <c r="C64" s="29" t="n">
        <v>0.047</v>
      </c>
      <c r="D64" s="30" t="n">
        <v>21000</v>
      </c>
      <c r="E64" s="29" t="n">
        <v>0.652</v>
      </c>
      <c r="F64" s="16" t="n">
        <v>7</v>
      </c>
      <c r="G64" s="66" t="n">
        <v>0.0842</v>
      </c>
      <c r="H64" s="16" t="n">
        <v>97</v>
      </c>
      <c r="I64" s="67" t="n">
        <v>0.00608</v>
      </c>
      <c r="J64" s="29" t="n">
        <v>0.035</v>
      </c>
      <c r="K64" s="61" t="n">
        <v>423</v>
      </c>
    </row>
    <row r="65">
      <c r="A65" s="8" t="inlineStr">
        <is>
          <t>Ford Explorer</t>
        </is>
      </c>
      <c r="B65" s="29" t="n">
        <v>0.592</v>
      </c>
      <c r="C65" s="29" t="n">
        <v>0.055</v>
      </c>
      <c r="D65" s="30" t="n">
        <v>21000</v>
      </c>
      <c r="E65" s="29" t="n">
        <v>0.659</v>
      </c>
      <c r="F65" s="16" t="n">
        <v>7</v>
      </c>
      <c r="G65" s="66" t="n">
        <v>0.08450000000000001</v>
      </c>
      <c r="H65" s="16" t="n">
        <v>87</v>
      </c>
      <c r="I65" s="67" t="n">
        <v>0.0068</v>
      </c>
      <c r="J65" s="29" t="n">
        <v>0.036</v>
      </c>
      <c r="K65" s="61" t="n">
        <v>423</v>
      </c>
    </row>
    <row r="66">
      <c r="A66" s="8" t="inlineStr">
        <is>
          <t>Buick Enclave</t>
        </is>
      </c>
      <c r="B66" s="29" t="n">
        <v>0.601</v>
      </c>
      <c r="C66" s="29" t="n">
        <v>0.058</v>
      </c>
      <c r="D66" s="30" t="n">
        <v>16667</v>
      </c>
      <c r="E66" s="29" t="n">
        <v>0.638</v>
      </c>
      <c r="F66" s="16" t="n">
        <v>7</v>
      </c>
      <c r="G66" s="66" t="n">
        <v>0.0859</v>
      </c>
      <c r="H66" s="16" t="n">
        <v>97</v>
      </c>
      <c r="I66" s="67" t="n">
        <v>0.0062</v>
      </c>
      <c r="J66" s="29" t="n">
        <v>0.038</v>
      </c>
      <c r="K66" s="61" t="n">
        <v>423</v>
      </c>
    </row>
    <row r="67">
      <c r="A67" s="8" t="inlineStr">
        <is>
          <t>Volvo XC60</t>
        </is>
      </c>
      <c r="B67" s="29" t="n">
        <v>0.619</v>
      </c>
      <c r="C67" s="29" t="n">
        <v>0.05</v>
      </c>
      <c r="D67" s="30" t="n">
        <v>25200</v>
      </c>
      <c r="E67" s="29" t="n">
        <v>0.721</v>
      </c>
      <c r="F67" s="16" t="n">
        <v>5</v>
      </c>
      <c r="G67" s="66" t="n">
        <v>0.1238</v>
      </c>
      <c r="H67" s="16" t="n">
        <v>63</v>
      </c>
      <c r="I67" s="67" t="n">
        <v>0.009820000000000001</v>
      </c>
      <c r="J67" s="29" t="n">
        <v>0.031</v>
      </c>
      <c r="K67" s="61" t="n">
        <v>386</v>
      </c>
    </row>
    <row r="68">
      <c r="A68" s="8" t="inlineStr">
        <is>
          <t>Chevy Tahoe</t>
        </is>
      </c>
      <c r="B68" s="29" t="n">
        <v>0.63</v>
      </c>
      <c r="C68" s="29" t="n">
        <v>0.044</v>
      </c>
      <c r="D68" s="30" t="n">
        <v>39375</v>
      </c>
      <c r="E68" s="29" t="n">
        <v>0.84</v>
      </c>
      <c r="F68" s="16" t="n">
        <v>8</v>
      </c>
      <c r="G68" s="66" t="n">
        <v>0.0788</v>
      </c>
      <c r="H68" s="16" t="n">
        <v>122</v>
      </c>
      <c r="I68" s="67" t="n">
        <v>0.00517</v>
      </c>
      <c r="J68" s="29" t="n">
        <v>0.04</v>
      </c>
      <c r="K68" s="61" t="n">
        <v>555</v>
      </c>
    </row>
    <row r="69">
      <c r="A69" s="8" t="inlineStr">
        <is>
          <t>Jeep Grand Cherokee L</t>
        </is>
      </c>
      <c r="B69" s="29" t="n">
        <v>0.634</v>
      </c>
      <c r="C69" s="29" t="n">
        <v>0.045</v>
      </c>
      <c r="D69" s="30" t="n">
        <v>28600</v>
      </c>
      <c r="E69" s="29" t="n">
        <v>0.728</v>
      </c>
      <c r="F69" s="16" t="n">
        <v>6</v>
      </c>
      <c r="G69" s="66" t="n">
        <v>0.1057</v>
      </c>
      <c r="H69" s="16" t="n">
        <v>84</v>
      </c>
      <c r="I69" s="67" t="n">
        <v>0.00755</v>
      </c>
      <c r="J69" s="29" t="n">
        <v>0.038</v>
      </c>
      <c r="K69" s="61" t="n">
        <v>468</v>
      </c>
    </row>
    <row r="70">
      <c r="A70" s="8" t="inlineStr">
        <is>
          <t>Volvo V90 Cross Country</t>
        </is>
      </c>
      <c r="B70" s="29" t="n">
        <v>0.64</v>
      </c>
      <c r="C70" s="29" t="n">
        <v>0.052</v>
      </c>
      <c r="D70" s="30" t="n">
        <v>29800</v>
      </c>
      <c r="E70" s="29" t="n">
        <v>0.741</v>
      </c>
      <c r="F70" s="16" t="n">
        <v>5</v>
      </c>
      <c r="G70" s="66" t="n">
        <v>0.128</v>
      </c>
      <c r="H70" s="16" t="n">
        <v>69</v>
      </c>
      <c r="I70" s="67" t="n">
        <v>0.00928</v>
      </c>
      <c r="J70" s="29" t="n">
        <v>0.029</v>
      </c>
      <c r="K70" s="61" t="n">
        <v>355</v>
      </c>
    </row>
    <row r="71">
      <c r="A71" s="8" t="inlineStr">
        <is>
          <t>Chevy Suburban</t>
        </is>
      </c>
      <c r="B71" s="29" t="n">
        <v>0.641</v>
      </c>
      <c r="C71" s="29" t="n">
        <v>0.045</v>
      </c>
      <c r="D71" s="30" t="n">
        <v>42375</v>
      </c>
      <c r="E71" s="29" t="n">
        <v>0.867</v>
      </c>
      <c r="F71" s="16" t="n">
        <v>8</v>
      </c>
      <c r="G71" s="66" t="n">
        <v>0.0801</v>
      </c>
      <c r="H71" s="16" t="n">
        <v>144</v>
      </c>
      <c r="I71" s="67" t="n">
        <v>0.00445</v>
      </c>
      <c r="J71" s="29" t="n">
        <v>0.04</v>
      </c>
      <c r="K71" s="61" t="n">
        <v>555</v>
      </c>
    </row>
    <row r="72">
      <c r="A72" s="8" t="inlineStr">
        <is>
          <t>Volvo XC90</t>
        </is>
      </c>
      <c r="B72" s="29" t="n">
        <v>0.703</v>
      </c>
      <c r="C72" s="29" t="n">
        <v>0.079</v>
      </c>
      <c r="D72" s="30" t="n">
        <v>30000</v>
      </c>
      <c r="E72" s="29" t="n">
        <v>0.806</v>
      </c>
      <c r="F72" s="16" t="n">
        <v>7</v>
      </c>
      <c r="G72" s="66" t="n">
        <v>0.1004</v>
      </c>
      <c r="H72" s="16" t="n">
        <v>86</v>
      </c>
      <c r="I72" s="67" t="n">
        <v>0.00818</v>
      </c>
      <c r="J72" s="29" t="n">
        <v>0.033</v>
      </c>
      <c r="K72" s="61" t="n">
        <v>404</v>
      </c>
    </row>
    <row r="73">
      <c r="A73" s="37" t="inlineStr">
        <is>
          <t>Porsche 996 Carrera</t>
        </is>
      </c>
      <c r="B73" s="29" t="n">
        <v>0.842</v>
      </c>
      <c r="C73" s="29" t="n">
        <v>0.03</v>
      </c>
      <c r="D73" s="30" t="n">
        <v>38833</v>
      </c>
      <c r="E73" s="29" t="n">
        <v>0.889</v>
      </c>
      <c r="F73" s="16" t="n">
        <v>2</v>
      </c>
      <c r="G73" s="66" t="n">
        <v>0.4211</v>
      </c>
      <c r="H73" s="16" t="n">
        <v>5</v>
      </c>
      <c r="I73" s="67" t="n">
        <v>0.16843</v>
      </c>
      <c r="J73" s="29" t="n">
        <v>0.036</v>
      </c>
      <c r="K73" s="61" t="n">
        <v>468</v>
      </c>
    </row>
    <row r="74">
      <c r="A74" s="37" t="inlineStr">
        <is>
          <t>Porsche 996 Turbo</t>
        </is>
      </c>
      <c r="B74" s="29" t="n">
        <v>1.043</v>
      </c>
      <c r="C74" s="29" t="n">
        <v>0.031</v>
      </c>
      <c r="D74" s="30" t="n">
        <v>60333</v>
      </c>
      <c r="E74" s="29" t="n">
        <v>1.102</v>
      </c>
      <c r="F74" s="16" t="n">
        <v>2</v>
      </c>
      <c r="G74" s="66" t="n">
        <v>0.5213</v>
      </c>
      <c r="H74" s="16" t="n">
        <v>5</v>
      </c>
      <c r="I74" s="67" t="n">
        <v>0.20852</v>
      </c>
      <c r="J74" s="29" t="n">
        <v>0.039</v>
      </c>
      <c r="K74" s="61" t="n">
        <v>523</v>
      </c>
    </row>
    <row r="76">
      <c r="A76" s="5" t="inlineStr">
        <is>
          <t>WHAT EACH METRIC REVEALS (and why it matters beyond $/mile): BAD-LUCK TAIL (P90−P50) = how much a rough-luck outcome costs above the median — Corolla/Camry are tight (~3¢), Mazda3/Leaf/Bolt are wide (~7-8¢); pick low tail if you can't absorb a surprise. UP-FRONT CAPITAL = cash tied up and exposed to total-loss/theft; a car that wins $/mile by a penny while costing $12k more up front is not obviously better. 5yr / 75k-mi $/mi = cost if you SELL after 5 years instead of driving to death — this penalizes front-loaded depreciation (new EVs/PHEVs) that the drive-to-death frame rewards, and is what most buyers actually face. $ PER SEAT-MILE = $/mile ÷ seats — a Sienna at ~$0.50/mi over 8 seats ($0.063/seat-mi) hauls a family cheaper per person than a Corolla at $0.42/mi over 5 ($0.085/seat-mi); the right lens when you need room for 4 kids. MAX CARGO + $/mi-per-cu-ft = space and space-efficiency. +$1/gal→Δ$/mi = fuel-price exposure (EVs ~0, trucks/3-row gas ~$0.05); pick low if you fear gas spikes. CO₂ g/mi = climate cost. NOT SHOWN because they need per-person or external data: personalized insurance quote (varies by driver/ZIP), IIHS/NHTSA safety ratings (get the specific trim/year), and resale liquidity/days-to-sell.</t>
        </is>
      </c>
    </row>
    <row r="77"/>
    <row r="78"/>
    <row r="79"/>
    <row r="80"/>
    <row r="81"/>
    <row r="82"/>
  </sheetData>
  <mergeCells count="2">
    <mergeCell ref="A76:K82"/>
    <mergeCell ref="A1:K1"/>
  </mergeCells>
  <conditionalFormatting sqref="B4:B74">
    <cfRule type="colorScale" priority="1">
      <colorScale>
        <cfvo type="min"/>
        <cfvo type="percentile" val="50"/>
        <cfvo type="max"/>
        <color rgb="0063BE7B"/>
        <color rgb="00FFEB84"/>
        <color rgb="00F8696B"/>
      </colorScale>
    </cfRule>
  </conditionalFormatting>
  <conditionalFormatting sqref="C4:C74">
    <cfRule type="colorScale" priority="2">
      <colorScale>
        <cfvo type="min"/>
        <cfvo type="percentile" val="50"/>
        <cfvo type="max"/>
        <color rgb="0063BE7B"/>
        <color rgb="00FFEB84"/>
        <color rgb="00F8696B"/>
      </colorScale>
    </cfRule>
  </conditionalFormatting>
  <conditionalFormatting sqref="D4:D74">
    <cfRule type="colorScale" priority="3">
      <colorScale>
        <cfvo type="min"/>
        <cfvo type="percentile" val="50"/>
        <cfvo type="max"/>
        <color rgb="0063BE7B"/>
        <color rgb="00FFEB84"/>
        <color rgb="00F8696B"/>
      </colorScale>
    </cfRule>
  </conditionalFormatting>
  <conditionalFormatting sqref="E4:E74">
    <cfRule type="colorScale" priority="4">
      <colorScale>
        <cfvo type="min"/>
        <cfvo type="percentile" val="50"/>
        <cfvo type="max"/>
        <color rgb="0063BE7B"/>
        <color rgb="00FFEB84"/>
        <color rgb="00F8696B"/>
      </colorScale>
    </cfRule>
  </conditionalFormatting>
  <conditionalFormatting sqref="G4:G74">
    <cfRule type="colorScale" priority="5">
      <colorScale>
        <cfvo type="min"/>
        <cfvo type="percentile" val="50"/>
        <cfvo type="max"/>
        <color rgb="0063BE7B"/>
        <color rgb="00FFEB84"/>
        <color rgb="00F8696B"/>
      </colorScale>
    </cfRule>
  </conditionalFormatting>
  <conditionalFormatting sqref="I4:I74">
    <cfRule type="colorScale" priority="6">
      <colorScale>
        <cfvo type="min"/>
        <cfvo type="percentile" val="50"/>
        <cfvo type="max"/>
        <color rgb="0063BE7B"/>
        <color rgb="00FFEB84"/>
        <color rgb="00F8696B"/>
      </colorScale>
    </cfRule>
  </conditionalFormatting>
  <conditionalFormatting sqref="J4:J74">
    <cfRule type="colorScale" priority="7">
      <colorScale>
        <cfvo type="min"/>
        <cfvo type="percentile" val="50"/>
        <cfvo type="max"/>
        <color rgb="0063BE7B"/>
        <color rgb="00FFEB84"/>
        <color rgb="00F8696B"/>
      </colorScale>
    </cfRule>
  </conditionalFormatting>
  <conditionalFormatting sqref="K4:K74">
    <cfRule type="colorScale" priority="8">
      <colorScale>
        <cfvo type="min"/>
        <cfvo type="percentile" val="50"/>
        <cfvo type="max"/>
        <color rgb="0063BE7B"/>
        <color rgb="00FFEB84"/>
        <color rgb="00F8696B"/>
      </colorScale>
    </cfRule>
  </conditionalFormatting>
  <conditionalFormatting sqref="F4:F74">
    <cfRule type="colorScale" priority="9">
      <colorScale>
        <cfvo type="min"/>
        <cfvo type="percentile" val="50"/>
        <cfvo type="max"/>
        <color rgb="00F8696B"/>
        <color rgb="00FFEB84"/>
        <color rgb="0063BE7B"/>
      </colorScale>
    </cfRule>
  </conditionalFormatting>
  <conditionalFormatting sqref="H4:H74">
    <cfRule type="colorScale" priority="10">
      <colorScale>
        <cfvo type="min"/>
        <cfvo type="percentile" val="50"/>
        <cfvo type="max"/>
        <color rgb="00F8696B"/>
        <color rgb="00FFEB84"/>
        <color rgb="0063BE7B"/>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7"/>
  <sheetViews>
    <sheetView workbookViewId="0">
      <pane ySplit="3" topLeftCell="A4" activePane="bottomLeft" state="frozen"/>
      <selection pane="bottomLeft" activeCell="A1" sqref="A1"/>
    </sheetView>
  </sheetViews>
  <sheetFormatPr baseColWidth="8" defaultRowHeight="15"/>
  <cols>
    <col width="24" customWidth="1" min="1" max="1"/>
    <col width="26" customWidth="1" min="2" max="2"/>
    <col width="22" customWidth="1" min="3" max="3"/>
    <col width="66" customWidth="1" min="4" max="4"/>
  </cols>
  <sheetData>
    <row r="1">
      <c r="A1" s="6" t="inlineStr">
        <is>
          <t>YEAR RELIABILITY — different model-YEARS of the same car differ (redesigns, bad-engine/transmission years). A YEAR-RELIABILITY MULTIPLIER now scales the repair cost across the WHOLE model — landmine years x1.40, first-year-of-generation x1.15, verified sweet-spot years x0.95 — so the Ranking, the Sweet-spot heat map (by the year each odometer implies), the buy-point optimizer, AND the Any-Car Calculator all respond to model-year. This tab lists the years behind those multipliers for all 70 vehicles. "Sweet-spot years" = buy with confidence; "Avoid" = known trouble (verify the recall was completed for recall-based ones). Sourced from iSeeCars / RepairPal / CarComplaints / Auto Reliability Index, 2026.</t>
        </is>
      </c>
    </row>
    <row r="3">
      <c r="A3" s="68" t="inlineStr">
        <is>
          <t>Vehicle</t>
        </is>
      </c>
      <c r="B3" s="68" t="inlineStr">
        <is>
          <t>Sweet-spot years</t>
        </is>
      </c>
      <c r="C3" s="68" t="inlineStr">
        <is>
          <t>Years to AVOID</t>
        </is>
      </c>
      <c r="D3" s="68" t="inlineStr">
        <is>
          <t>The specific issue in the bad years</t>
        </is>
      </c>
    </row>
    <row r="4">
      <c r="A4" s="69" t="inlineStr">
        <is>
          <t>Toyota Corolla</t>
        </is>
      </c>
      <c r="B4" s="32" t="inlineStr">
        <is>
          <t>2016-2019, 2021+</t>
        </is>
      </c>
      <c r="C4" s="37" t="inlineStr">
        <is>
          <t>2009-2010, 2014, 2020, 2023</t>
        </is>
      </c>
      <c r="D4" s="8" t="inlineStr">
        <is>
          <t>2009-10 excess oil (2ZR); 2014 new-CVT teething; 2020 &amp; 2023 dip vs the model's usual excellence (still fine cars).</t>
        </is>
      </c>
    </row>
    <row r="5">
      <c r="A5" s="69" t="inlineStr">
        <is>
          <t>Toyota Camry</t>
        </is>
      </c>
      <c r="B5" s="32" t="inlineStr">
        <is>
          <t>2015-2017, 2020-2022</t>
        </is>
      </c>
      <c r="C5" s="37" t="inlineStr">
        <is>
          <t>2007-2009, 2018</t>
        </is>
      </c>
      <c r="D5" s="8" t="inlineStr">
        <is>
          <t>2007-09 EXCESSIVE OIL CONSUMPTION (2AZ engine) — the big one; 2018 = first year of the current generation.</t>
        </is>
      </c>
    </row>
    <row r="6">
      <c r="A6" s="69" t="inlineStr">
        <is>
          <t>Toyota Camry Hybrid</t>
        </is>
      </c>
      <c r="B6" s="32" t="inlineStr">
        <is>
          <t>2020-2022, 2013-2014</t>
        </is>
      </c>
      <c r="C6" s="37" t="inlineStr">
        <is>
          <t>2007-2009, 2018</t>
        </is>
      </c>
      <c r="D6" s="8" t="inlineStr">
        <is>
          <t>Same 2AZ oil issue in 07-09; 2018 first-year-of-generation niggles.</t>
        </is>
      </c>
    </row>
    <row r="7">
      <c r="A7" s="69" t="inlineStr">
        <is>
          <t>Toyota Prius</t>
        </is>
      </c>
      <c r="B7" s="32" t="inlineStr">
        <is>
          <t>2013-2015, 2018-2019</t>
        </is>
      </c>
      <c r="C7" s="37" t="inlineStr">
        <is>
          <t>2010-2011, 2016</t>
        </is>
      </c>
      <c r="D7" s="8" t="inlineStr">
        <is>
          <t>2010-11 unintended-accel era + some inverter failures; 2016 = first year of gen-4.</t>
        </is>
      </c>
    </row>
    <row r="8">
      <c r="A8" s="69" t="inlineStr">
        <is>
          <t>Honda Civic</t>
        </is>
      </c>
      <c r="B8" s="32" t="inlineStr">
        <is>
          <t>2013-2015, 2018-2022</t>
        </is>
      </c>
      <c r="C8" s="37" t="inlineStr">
        <is>
          <t>2001-2002, 2006-2008, 2016</t>
        </is>
      </c>
      <c r="D8" s="8" t="inlineStr">
        <is>
          <t>2001-02 auto-trans failure; 2006-08 engine block cracking (1.8L); 2016 = first year 10th gen (A/C, early bugs).</t>
        </is>
      </c>
    </row>
    <row r="9">
      <c r="A9" s="69" t="inlineStr">
        <is>
          <t>Honda Accord</t>
        </is>
      </c>
      <c r="B9" s="32" t="inlineStr">
        <is>
          <t>2011-2012, 2016-2017, 2020+</t>
        </is>
      </c>
      <c r="C9" s="37" t="inlineStr">
        <is>
          <t>2003, 2008-2010, 2018</t>
        </is>
      </c>
      <c r="D9" s="8" t="inlineStr">
        <is>
          <t>2003 transmission failure; 2008-10 excess oil + early brakes; 2018 = 1.5T OIL-DILUTION first year.</t>
        </is>
      </c>
    </row>
    <row r="10">
      <c r="A10" s="69" t="inlineStr">
        <is>
          <t>Mazda3</t>
        </is>
      </c>
      <c r="B10" s="32" t="inlineStr">
        <is>
          <t>2013, 2016-2018, 2021+</t>
        </is>
      </c>
      <c r="C10" s="37" t="inlineStr">
        <is>
          <t>2004-2006, 2010, 2014-2015, 2019</t>
        </is>
      </c>
      <c r="D10" s="8" t="inlineStr">
        <is>
          <t>Premature rust, clutch (manual), infotainment/brake bugs; first-year-of-gen dips (2010, 2014, 2019).</t>
        </is>
      </c>
    </row>
    <row r="11">
      <c r="A11" s="69" t="inlineStr">
        <is>
          <t>Hyundai Elantra</t>
        </is>
      </c>
      <c r="B11" s="32" t="inlineStr">
        <is>
          <t>2018-2020, 2021+</t>
        </is>
      </c>
      <c r="C11" s="37" t="inlineStr">
        <is>
          <t>2011-2013, 2017</t>
        </is>
      </c>
      <c r="D11" s="8" t="inlineStr">
        <is>
          <t>Engine/brake complaints; verify any GDI engine recall was completed on the older ones.</t>
        </is>
      </c>
    </row>
    <row r="12">
      <c r="A12" s="69" t="inlineStr">
        <is>
          <t>Hyundai Sonata</t>
        </is>
      </c>
      <c r="B12" s="32" t="inlineStr">
        <is>
          <t>2020+, 2018-2019 (recall-verified)</t>
        </is>
      </c>
      <c r="C12" s="37" t="inlineStr">
        <is>
          <t>2011-2015</t>
        </is>
      </c>
      <c r="D12" s="8" t="inlineStr">
        <is>
          <t>THETA II 2.0/2.4 GDI rod-bearing failure + oil consumption (recalled) — CONFIRM the recall was done before buying.</t>
        </is>
      </c>
    </row>
    <row r="13">
      <c r="A13" s="69" t="inlineStr">
        <is>
          <t>VW Passat (US)</t>
        </is>
      </c>
      <c r="B13" s="32" t="inlineStr">
        <is>
          <t>2016-2019</t>
        </is>
      </c>
      <c r="C13" s="37" t="inlineStr">
        <is>
          <t>2012</t>
        </is>
      </c>
      <c r="D13" s="8" t="inlineStr">
        <is>
          <t>2012 = first NMS-generation teething; watch timing-chain tensioner &amp; water pump on the 1.8T. (Thinner year data than the Japanese models.)</t>
        </is>
      </c>
    </row>
    <row r="14">
      <c r="A14" s="69" t="inlineStr">
        <is>
          <t>Toyota RAV4</t>
        </is>
      </c>
      <c r="B14" s="32" t="inlineStr">
        <is>
          <t>2016-2018, 2021+</t>
        </is>
      </c>
      <c r="C14" s="37" t="inlineStr">
        <is>
          <t>2013-2015, 2019</t>
        </is>
      </c>
      <c r="D14" s="8" t="inlineStr">
        <is>
          <t>2013-15 TORQUE-CONVERTER SHUDDER / low-speed vibration; 2019 = first year of gen (fuel-fill + transmission complaints).</t>
        </is>
      </c>
    </row>
    <row r="15">
      <c r="A15" s="69" t="inlineStr">
        <is>
          <t>Toyota RAV4 Hybrid</t>
        </is>
      </c>
      <c r="B15" s="32" t="inlineStr">
        <is>
          <t>2017-2018, 2021+</t>
        </is>
      </c>
      <c r="C15" s="37" t="inlineStr">
        <is>
          <t>2019</t>
        </is>
      </c>
      <c r="D15" s="8" t="inlineStr">
        <is>
          <t>2019 fuel-tank-capacity fix + early-gen bugs; otherwise very solid.</t>
        </is>
      </c>
    </row>
    <row r="16">
      <c r="A16" s="69" t="inlineStr">
        <is>
          <t>Honda CR-V</t>
        </is>
      </c>
      <c r="B16" s="32" t="inlineStr">
        <is>
          <t>2016, 2019-2021</t>
        </is>
      </c>
      <c r="C16" s="37" t="inlineStr">
        <is>
          <t>2011, 2015, 2017-2018</t>
        </is>
      </c>
      <c r="D16" s="8" t="inlineStr">
        <is>
          <t>2015 excess oil + vibration; 2017-18 = 1.5T FUEL/OIL-DILUTION first years (especially cold climates).</t>
        </is>
      </c>
    </row>
    <row r="17">
      <c r="A17" s="69" t="inlineStr">
        <is>
          <t>Mazda CX-5</t>
        </is>
      </c>
      <c r="B17" s="32" t="inlineStr">
        <is>
          <t>2013, 2017, 2020-2021</t>
        </is>
      </c>
      <c r="C17" s="37" t="inlineStr">
        <is>
          <t>2014, 2016</t>
        </is>
      </c>
      <c r="D17" s="8" t="inlineStr">
        <is>
          <t>More complaints (infotainment, minor) in 14 &amp; 16; the line is broadly reliable.</t>
        </is>
      </c>
    </row>
    <row r="18">
      <c r="A18" s="69" t="inlineStr">
        <is>
          <t>Subaru Forester</t>
        </is>
      </c>
      <c r="B18" s="32" t="inlineStr">
        <is>
          <t>2019+, 2020+</t>
        </is>
      </c>
      <c r="C18" s="37" t="inlineStr">
        <is>
          <t>2011-2014, 2015-2016</t>
        </is>
      </c>
      <c r="D18" s="8" t="inlineStr">
        <is>
          <t>2011-14 HEAD-GASKET / oil consumption (FB25); 2015-16 EARLY-CVT failures around 80-120k.</t>
        </is>
      </c>
    </row>
    <row r="19">
      <c r="A19" s="69" t="inlineStr">
        <is>
          <t>Subaru Outback</t>
        </is>
      </c>
      <c r="B19" s="32" t="inlineStr">
        <is>
          <t>2020+</t>
        </is>
      </c>
      <c r="C19" s="37" t="inlineStr">
        <is>
          <t>2010-2014, 2015</t>
        </is>
      </c>
      <c r="D19" s="8" t="inlineStr">
        <is>
          <t>EJ25 head-gasket tail + early-CVT issues; the 2020+ global platform is markedly better.</t>
        </is>
      </c>
    </row>
    <row r="20">
      <c r="A20" s="69" t="inlineStr">
        <is>
          <t>Hyundai Tucson</t>
        </is>
      </c>
      <c r="B20" s="32" t="inlineStr">
        <is>
          <t>2019-2021, 2022+</t>
        </is>
      </c>
      <c r="C20" s="37" t="inlineStr">
        <is>
          <t>2011-2013, 2016</t>
        </is>
      </c>
      <c r="D20" s="8" t="inlineStr">
        <is>
          <t>2011-13 Theta engine risk on some; 2016 = first year of gen (dual-clutch/engine bugs).</t>
        </is>
      </c>
    </row>
    <row r="21">
      <c r="A21" s="69" t="inlineStr">
        <is>
          <t>Hyundai Santa Fe</t>
        </is>
      </c>
      <c r="B21" s="32" t="inlineStr">
        <is>
          <t>2020-2021, 2022+</t>
        </is>
      </c>
      <c r="C21" s="37" t="inlineStr">
        <is>
          <t>2013-2014 (Sport), 2019</t>
        </is>
      </c>
      <c r="D21" s="8" t="inlineStr">
        <is>
          <t>2013-14 Santa Fe SPORT Theta II recall; 2019 = first year of the current generation.</t>
        </is>
      </c>
    </row>
    <row r="22">
      <c r="A22" s="69" t="inlineStr">
        <is>
          <t>Kia Sportage</t>
        </is>
      </c>
      <c r="B22" s="32" t="inlineStr">
        <is>
          <t>2019-2021, 2023+</t>
        </is>
      </c>
      <c r="C22" s="37" t="inlineStr">
        <is>
          <t>2011-2013, 2017</t>
        </is>
      </c>
      <c r="D22" s="8" t="inlineStr">
        <is>
          <t>2011-13 THETA II recall (Sportage among the recalled) — verify completion.</t>
        </is>
      </c>
    </row>
    <row r="23">
      <c r="A23" s="69" t="inlineStr">
        <is>
          <t>Kia Sorento</t>
        </is>
      </c>
      <c r="B23" s="32" t="inlineStr">
        <is>
          <t>2019-2020, 2021+</t>
        </is>
      </c>
      <c r="C23" s="37" t="inlineStr">
        <is>
          <t>2012-2014, 2016</t>
        </is>
      </c>
      <c r="D23" s="8" t="inlineStr">
        <is>
          <t>2012-14 THETA II recall; 2016 = first year of gen.</t>
        </is>
      </c>
    </row>
    <row r="24">
      <c r="A24" s="69" t="inlineStr">
        <is>
          <t>Kia Niro</t>
        </is>
      </c>
      <c r="B24" s="32" t="inlineStr">
        <is>
          <t>2018+</t>
        </is>
      </c>
      <c r="C24" s="37" t="inlineStr">
        <is>
          <t>2017</t>
        </is>
      </c>
      <c r="D24" s="8" t="inlineStr">
        <is>
          <t>2017 first-year minor items; otherwise a reliable hybrid.</t>
        </is>
      </c>
    </row>
    <row r="25">
      <c r="A25" s="69" t="inlineStr">
        <is>
          <t>Toyota Highlander</t>
        </is>
      </c>
      <c r="B25" s="32" t="inlineStr">
        <is>
          <t>2013-2014, 2017-2019, 2021+</t>
        </is>
      </c>
      <c r="C25" s="37" t="inlineStr">
        <is>
          <t>2015, 2020</t>
        </is>
      </c>
      <c r="D25" s="8" t="inlineStr">
        <is>
          <t>First-year-of-generation dips (2015, 2020) — powertrain/structural complaints.</t>
        </is>
      </c>
    </row>
    <row r="26">
      <c r="A26" s="69" t="inlineStr">
        <is>
          <t>Toyota 4Runner</t>
        </is>
      </c>
      <c r="B26" s="32" t="inlineStr">
        <is>
          <t>2010-2024 (5th gen)</t>
        </is>
      </c>
      <c r="C26" s="37" t="inlineStr">
        <is>
          <t>2003 (minor)</t>
        </is>
      </c>
      <c r="D26" s="8" t="inlineStr">
        <is>
          <t>One of the most durable SUVs made; no real landmine years in the 5th generation.</t>
        </is>
      </c>
    </row>
    <row r="27">
      <c r="A27" s="69" t="inlineStr">
        <is>
          <t>Honda Pilot</t>
        </is>
      </c>
      <c r="B27" s="32" t="inlineStr">
        <is>
          <t>2012-2015, 2018-2019</t>
        </is>
      </c>
      <c r="C27" s="37" t="inlineStr">
        <is>
          <t>2003, 2005, 2016</t>
        </is>
      </c>
      <c r="D27" s="8" t="inlineStr">
        <is>
          <t>2016 = first year of the 9-speed ZF transmission (jerky shifts / early failures).</t>
        </is>
      </c>
    </row>
    <row r="28">
      <c r="A28" s="69" t="inlineStr">
        <is>
          <t>Kia Telluride</t>
        </is>
      </c>
      <c r="B28" s="32" t="inlineStr">
        <is>
          <t>2022-2024</t>
        </is>
      </c>
      <c r="C28" s="37" t="inlineStr">
        <is>
          <t>2020-2021</t>
        </is>
      </c>
      <c r="D28" s="8" t="inlineStr">
        <is>
          <t>2020-21 oil consumption, transmission complaints + multiple recalls (incl. fire risk) — verify ALL recalls done.</t>
        </is>
      </c>
    </row>
    <row r="29">
      <c r="A29" s="69" t="inlineStr">
        <is>
          <t>Hyundai Palisade</t>
        </is>
      </c>
      <c r="B29" s="32" t="inlineStr">
        <is>
          <t>2022+ (all years OK)</t>
        </is>
      </c>
      <c r="C29" s="37" t="inlineStr">
        <is>
          <t>(none stands out; 2020 first-yr)</t>
        </is>
      </c>
      <c r="D29" s="8" t="inlineStr">
        <is>
          <t>No statistical bad year; just confirm the 2020 first-year recalls were completed.</t>
        </is>
      </c>
    </row>
    <row r="30">
      <c r="A30" s="69" t="inlineStr">
        <is>
          <t>Subaru Ascent</t>
        </is>
      </c>
      <c r="B30" s="32" t="inlineStr">
        <is>
          <t>2022+</t>
        </is>
      </c>
      <c r="C30" s="37" t="inlineStr">
        <is>
          <t>2019-2020</t>
        </is>
      </c>
      <c r="D30" s="8" t="inlineStr">
        <is>
          <t>2019 = first year (electrical, ~55/100); 2020 still rough. The turbo needs disciplined oil changes.</t>
        </is>
      </c>
    </row>
    <row r="31">
      <c r="A31" s="69" t="inlineStr">
        <is>
          <t>Toyota Sienna</t>
        </is>
      </c>
      <c r="B31" s="32" t="inlineStr">
        <is>
          <t>2015-2016 (V6), 2021+ (hybrid)</t>
        </is>
      </c>
      <c r="C31" s="37" t="inlineStr">
        <is>
          <t>2004-2008, 2011, 2017</t>
        </is>
      </c>
      <c r="D31" s="8" t="inlineStr">
        <is>
          <t>2004-08 manufacturing defects; 2017 = 8-speed transmission first year.</t>
        </is>
      </c>
    </row>
    <row r="32">
      <c r="A32" s="69" t="inlineStr">
        <is>
          <t>Honda Odyssey</t>
        </is>
      </c>
      <c r="B32" s="32" t="inlineStr">
        <is>
          <t>2013, 2015-2017, 2020+</t>
        </is>
      </c>
      <c r="C32" s="37" t="inlineStr">
        <is>
          <t>1999-2004, 2011, 2014, 2018</t>
        </is>
      </c>
      <c r="D32" s="8" t="inlineStr">
        <is>
          <t>1999-2004 TRANSMISSION FAILURES; 2018 = first year (transmission + infotainment bugs).</t>
        </is>
      </c>
    </row>
    <row r="33">
      <c r="A33" s="69" t="inlineStr">
        <is>
          <t>Chrysler Pacifica</t>
        </is>
      </c>
      <c r="B33" s="32" t="inlineStr">
        <is>
          <t>2019-2020, 2022+</t>
        </is>
      </c>
      <c r="C33" s="37" t="inlineStr">
        <is>
          <t>2017-2018</t>
        </is>
      </c>
      <c r="D33" s="8" t="inlineStr">
        <is>
          <t>2017 is the most-complained year (electrical, transmission, stalling); 2018 barely better. PHEV: 2017-18 had battery-fire recalls.</t>
        </is>
      </c>
    </row>
    <row r="34">
      <c r="A34" s="69" t="inlineStr">
        <is>
          <t>Toyota Tacoma</t>
        </is>
      </c>
      <c r="B34" s="32" t="inlineStr">
        <is>
          <t>2012-2015, 2018-2022</t>
        </is>
      </c>
      <c r="C34" s="37" t="inlineStr">
        <is>
          <t>2016 (minor)</t>
        </is>
      </c>
      <c r="D34" s="8" t="inlineStr">
        <is>
          <t>2016 = first year of 3rd gen (low-speed auto hesitation); otherwise a durability legend.</t>
        </is>
      </c>
    </row>
    <row r="35">
      <c r="A35" s="69" t="inlineStr">
        <is>
          <t>Chevy Colorado</t>
        </is>
      </c>
      <c r="B35" s="32" t="inlineStr">
        <is>
          <t>2019-2022</t>
        </is>
      </c>
      <c r="C35" s="37" t="inlineStr">
        <is>
          <t>2015-2016</t>
        </is>
      </c>
      <c r="D35" s="8" t="inlineStr">
        <is>
          <t>2015-16 = first years of 2nd gen (transmission shudder, infotainment).</t>
        </is>
      </c>
    </row>
    <row r="36">
      <c r="A36" s="69" t="inlineStr">
        <is>
          <t>Ford Ranger (2019+)</t>
        </is>
      </c>
      <c r="B36" s="32" t="inlineStr">
        <is>
          <t>2021-2023</t>
        </is>
      </c>
      <c r="C36" s="37" t="inlineStr">
        <is>
          <t>2019</t>
        </is>
      </c>
      <c r="D36" s="8" t="inlineStr">
        <is>
          <t>2019 = early production + shift-cable-bracket recall; 10-speed can shift harshly cold.</t>
        </is>
      </c>
    </row>
    <row r="37">
      <c r="A37" s="69" t="inlineStr">
        <is>
          <t>Ford Ranger (old compact)</t>
        </is>
      </c>
      <c r="B37" s="32" t="inlineStr">
        <is>
          <t>2008-2010</t>
        </is>
      </c>
      <c r="C37" s="37" t="inlineStr">
        <is>
          <t>1999, 2001, 2011</t>
        </is>
      </c>
      <c r="D37" s="8" t="inlineStr">
        <is>
          <t>1999/2001 worst; 2011 transmission. (This is the cheap-hold pick — inspect carefully.)</t>
        </is>
      </c>
    </row>
    <row r="38">
      <c r="A38" s="69" t="inlineStr">
        <is>
          <t>Chevy Bolt EV</t>
        </is>
      </c>
      <c r="B38" s="32" t="inlineStr">
        <is>
          <t>2023</t>
        </is>
      </c>
      <c r="C38" s="37" t="inlineStr">
        <is>
          <t>2017-2022 (recall)</t>
        </is>
      </c>
      <c r="D38" s="8" t="inlineStr">
        <is>
          <t>2017-19 had the battery-FIRE recall = full pack replaced (a PLUS if done); 2020-22 module fix. CONFIRM the recall pack.</t>
        </is>
      </c>
    </row>
    <row r="39">
      <c r="A39" s="69" t="inlineStr">
        <is>
          <t>Nissan Leaf</t>
        </is>
      </c>
      <c r="B39" s="32" t="inlineStr">
        <is>
          <t>2019-2022</t>
        </is>
      </c>
      <c r="C39" s="37" t="inlineStr">
        <is>
          <t>2011-2016, 2017-2018</t>
        </is>
      </c>
      <c r="D39" s="8" t="inlineStr">
        <is>
          <t>Air-cooled battery degrades fast in HEAT — a Fresno Leaf ages hard. Check the state-of-health bars before buying.</t>
        </is>
      </c>
    </row>
    <row r="40">
      <c r="A40" s="69" t="inlineStr">
        <is>
          <t>Tesla Model 3</t>
        </is>
      </c>
      <c r="B40" s="32" t="inlineStr">
        <is>
          <t>2019-2023</t>
        </is>
      </c>
      <c r="C40" s="37" t="inlineStr">
        <is>
          <t>2018</t>
        </is>
      </c>
      <c r="D40" s="8" t="inlineStr">
        <is>
          <t>2018 = early-production build quality (panel gaps, trim); drivetrain/battery are solid.</t>
        </is>
      </c>
    </row>
    <row r="41">
      <c r="A41" s="69" t="inlineStr">
        <is>
          <t>VW ID.4</t>
        </is>
      </c>
      <c r="B41" s="32" t="inlineStr">
        <is>
          <t>2023-2024</t>
        </is>
      </c>
      <c r="C41" s="37" t="inlineStr">
        <is>
          <t>2021-2022</t>
        </is>
      </c>
      <c r="D41" s="8" t="inlineStr">
        <is>
          <t>2021-22 = first years: 12V battery, door-handle, and software glitches (occasional stranding).</t>
        </is>
      </c>
    </row>
    <row r="42">
      <c r="A42" s="69" t="inlineStr">
        <is>
          <t>Chevy Volt</t>
        </is>
      </c>
      <c r="B42" s="32" t="inlineStr">
        <is>
          <t>2013-2019</t>
        </is>
      </c>
      <c r="C42" s="37" t="inlineStr">
        <is>
          <t>2011-2012</t>
        </is>
      </c>
      <c r="D42" s="8" t="inlineStr">
        <is>
          <t>2011-12 = first years of gen-1; the Volt is otherwise a genuinely reliable plug-in.</t>
        </is>
      </c>
    </row>
    <row r="43">
      <c r="A43" s="69" t="inlineStr">
        <is>
          <t>Toyota Prius Prime</t>
        </is>
      </c>
      <c r="B43" s="32" t="inlineStr">
        <is>
          <t>2018-2022</t>
        </is>
      </c>
      <c r="C43" s="37" t="inlineStr">
        <is>
          <t>2017</t>
        </is>
      </c>
      <c r="D43" s="8" t="inlineStr">
        <is>
          <t>2017 = first-year minor items; very reliable otherwise.</t>
        </is>
      </c>
    </row>
    <row r="44">
      <c r="A44" s="69" t="inlineStr">
        <is>
          <t>Toyota RAV4 Prime</t>
        </is>
      </c>
      <c r="B44" s="32" t="inlineStr">
        <is>
          <t>2022-2023</t>
        </is>
      </c>
      <c r="C44" s="37" t="inlineStr">
        <is>
          <t>2021</t>
        </is>
      </c>
      <c r="D44" s="8" t="inlineStr">
        <is>
          <t>2021 = first year (fuel-system + a couple recalls); scarce and pricey used.</t>
        </is>
      </c>
    </row>
    <row r="45">
      <c r="A45" s="69" t="inlineStr">
        <is>
          <t>Ford Escape</t>
        </is>
      </c>
      <c r="B45" s="32" t="inlineStr">
        <is>
          <t>2017-2019, 2021-2022</t>
        </is>
      </c>
      <c r="C45" s="37" t="inlineStr">
        <is>
          <t>2013-2014, 2020</t>
        </is>
      </c>
      <c r="D45" s="8" t="inlineStr">
        <is>
          <t>2013-14 = 1.6 EcoBoost FIRE risk + transmission; 2020 = first year of the new generation.</t>
        </is>
      </c>
    </row>
    <row r="46">
      <c r="A46" s="69" t="inlineStr">
        <is>
          <t>Nissan Rogue</t>
        </is>
      </c>
      <c r="B46" s="32" t="inlineStr">
        <is>
          <t>2021-2022</t>
        </is>
      </c>
      <c r="C46" s="37" t="inlineStr">
        <is>
          <t>2013-2019</t>
        </is>
      </c>
      <c r="D46" s="8" t="inlineStr">
        <is>
          <t>The Rogue CVT is notorious — overheats &amp; fails around 107k across 2013-2019. Buy the 2021+ new gen.</t>
        </is>
      </c>
    </row>
    <row r="47">
      <c r="A47" s="69" t="inlineStr">
        <is>
          <t>Chevy Equinox</t>
        </is>
      </c>
      <c r="B47" s="32" t="inlineStr">
        <is>
          <t>2016-2017, 2021-2022</t>
        </is>
      </c>
      <c r="C47" s="37" t="inlineStr">
        <is>
          <t>2010-2013, 2018-2020</t>
        </is>
      </c>
      <c r="D47" s="8" t="inlineStr">
        <is>
          <t>2010-13 = 2.4 timing-chain / oil consumption; 2018-20 = transmission-fluid-leak FIRE recalls.</t>
        </is>
      </c>
    </row>
    <row r="48">
      <c r="A48" s="69" t="inlineStr">
        <is>
          <t>Chevy Traverse</t>
        </is>
      </c>
      <c r="B48" s="32" t="inlineStr">
        <is>
          <t>2019-2022</t>
        </is>
      </c>
      <c r="C48" s="37" t="inlineStr">
        <is>
          <t>2009-2015</t>
        </is>
      </c>
      <c r="D48" s="8" t="inlineStr">
        <is>
          <t>2009-15 = 6T75 transmission (wave-plate cracks, loses reverse) + timing chain. New gen (2018+) far better.</t>
        </is>
      </c>
    </row>
    <row r="49">
      <c r="A49" s="69" t="inlineStr">
        <is>
          <t>Ford Explorer</t>
        </is>
      </c>
      <c r="B49" s="32" t="inlineStr">
        <is>
          <t>2018-2019, 2021-2022</t>
        </is>
      </c>
      <c r="C49" s="37" t="inlineStr">
        <is>
          <t>2011-2013, 2020</t>
        </is>
      </c>
      <c r="D49" s="8" t="inlineStr">
        <is>
          <t>2011-13 = PTU/transmission; 2020 = first year of the new RWD gen (many early recalls).</t>
        </is>
      </c>
    </row>
    <row r="50">
      <c r="A50" s="69" t="inlineStr">
        <is>
          <t>Toyota Highlander Hybrid</t>
        </is>
      </c>
      <c r="B50" s="32" t="inlineStr">
        <is>
          <t>2013-2014, 2017-2019, 2021+</t>
        </is>
      </c>
      <c r="C50" s="37" t="inlineStr">
        <is>
          <t>2015, 2020</t>
        </is>
      </c>
      <c r="D50" s="8" t="inlineStr">
        <is>
          <t>First-year-of-generation dips; the hybrid drivetrain itself is very durable.</t>
        </is>
      </c>
    </row>
    <row r="51">
      <c r="A51" s="69" t="inlineStr">
        <is>
          <t>Toyota Sequoia</t>
        </is>
      </c>
      <c r="B51" s="32" t="inlineStr">
        <is>
          <t>2010-2022 (2nd gen)</t>
        </is>
      </c>
      <c r="C51" s="37" t="inlineStr">
        <is>
          <t>2008 (first year)</t>
        </is>
      </c>
      <c r="D51" s="8" t="inlineStr">
        <is>
          <t>Among the longest-lived vehicles made; the 4.7/5.7 V8s are bulletproof.</t>
        </is>
      </c>
    </row>
    <row r="52">
      <c r="A52" s="69" t="inlineStr">
        <is>
          <t>Chevy Tahoe / Suburban</t>
        </is>
      </c>
      <c r="B52" s="32" t="inlineStr">
        <is>
          <t>2017-2020, 2022</t>
        </is>
      </c>
      <c r="C52" s="37" t="inlineStr">
        <is>
          <t>2015, 2021</t>
        </is>
      </c>
      <c r="D52" s="8" t="inlineStr">
        <is>
          <t>2015 &amp; 2021 = first years of new generations (2021 had lifter/transmission teething).</t>
        </is>
      </c>
    </row>
    <row r="53">
      <c r="A53" s="69" t="inlineStr">
        <is>
          <t>Jeep Grand Cherokee L</t>
        </is>
      </c>
      <c r="B53" s="32" t="inlineStr">
        <is>
          <t>2022-2023</t>
        </is>
      </c>
      <c r="C53" s="37" t="inlineStr">
        <is>
          <t>2021</t>
        </is>
      </c>
      <c r="D53" s="8" t="inlineStr">
        <is>
          <t>2021 = first model year of the L (electronics/assembly teething).</t>
        </is>
      </c>
    </row>
    <row r="54">
      <c r="A54" s="69" t="inlineStr">
        <is>
          <t>Mazda CX-90</t>
        </is>
      </c>
      <c r="B54" s="32" t="inlineStr">
        <is>
          <t>2025</t>
        </is>
      </c>
      <c r="C54" s="37" t="inlineStr">
        <is>
          <t>2024</t>
        </is>
      </c>
      <c r="D54" s="8" t="inlineStr">
        <is>
          <t>2024 = brand-new model + new inline-6 &amp; 8-speed; let it mature a year.</t>
        </is>
      </c>
    </row>
    <row r="55">
      <c r="A55" s="69" t="inlineStr">
        <is>
          <t>Hyundai Kona (gas)</t>
        </is>
      </c>
      <c r="B55" s="32" t="inlineStr">
        <is>
          <t>2020-2022</t>
        </is>
      </c>
      <c r="C55" s="37" t="inlineStr">
        <is>
          <t>2018</t>
        </is>
      </c>
      <c r="D55" s="8" t="inlineStr">
        <is>
          <t>2018 = first year; the gas Kona is fine (the Kona EV had a separate battery-fire recall).</t>
        </is>
      </c>
    </row>
    <row r="56">
      <c r="A56" s="69" t="inlineStr">
        <is>
          <t>Kia Soul</t>
        </is>
      </c>
      <c r="B56" s="32" t="inlineStr">
        <is>
          <t>2017-2019, 2021-2022</t>
        </is>
      </c>
      <c r="C56" s="37" t="inlineStr">
        <is>
          <t>2012-2014</t>
        </is>
      </c>
      <c r="D56" s="8" t="inlineStr">
        <is>
          <t>2012-14 = engine (oil consumption / Nu) concerns; newer gens are solid.</t>
        </is>
      </c>
    </row>
    <row r="57">
      <c r="A57" s="69" t="inlineStr">
        <is>
          <t>Kia K4</t>
        </is>
      </c>
      <c r="B57" s="32" t="inlineStr">
        <is>
          <t>2026</t>
        </is>
      </c>
      <c r="C57" s="37" t="inlineStr">
        <is>
          <t>2025 (1st year)</t>
        </is>
      </c>
      <c r="D57" s="8" t="inlineStr">
        <is>
          <t>Brand-new 2025 model (replaces the Forte). No long-term reliability or used-market data yet — treated as first-year caution, with EOL/price-curve proxied off the Kia compact segment.</t>
        </is>
      </c>
    </row>
    <row r="58">
      <c r="A58" s="69" t="inlineStr">
        <is>
          <t>VW Tiguan</t>
        </is>
      </c>
      <c r="B58" s="32" t="inlineStr">
        <is>
          <t>2019-2022</t>
        </is>
      </c>
      <c r="C58" s="37" t="inlineStr">
        <is>
          <t>2009-2011, 2018</t>
        </is>
      </c>
      <c r="D58" s="8" t="inlineStr">
        <is>
          <t>Old gen = timing-chain tensioner; 2018 = first year of the new gen.</t>
        </is>
      </c>
    </row>
    <row r="59">
      <c r="A59" s="69" t="inlineStr">
        <is>
          <t>VW Atlas</t>
        </is>
      </c>
      <c r="B59" s="32" t="inlineStr">
        <is>
          <t>2021-2023</t>
        </is>
      </c>
      <c r="C59" s="37" t="inlineStr">
        <is>
          <t>2018-2019</t>
        </is>
      </c>
      <c r="D59" s="8" t="inlineStr">
        <is>
          <t>First two years had assembly/electronics + some cooling/water-pump niggles.</t>
        </is>
      </c>
    </row>
    <row r="60">
      <c r="A60" s="69" t="inlineStr">
        <is>
          <t>VW GTI</t>
        </is>
      </c>
      <c r="B60" s="32" t="inlineStr">
        <is>
          <t>2016-2019</t>
        </is>
      </c>
      <c r="C60" s="37" t="inlineStr">
        <is>
          <t>2010-2012, 2015</t>
        </is>
      </c>
      <c r="D60" s="8" t="inlineStr">
        <is>
          <t>MK6 (2010-12) timing chain/carbon; 2015 = first US MK7 year.</t>
        </is>
      </c>
    </row>
    <row r="61">
      <c r="A61" s="69" t="inlineStr">
        <is>
          <t>Mini Cooper</t>
        </is>
      </c>
      <c r="B61" s="32" t="inlineStr">
        <is>
          <t>2016-2019</t>
        </is>
      </c>
      <c r="C61" s="37" t="inlineStr">
        <is>
          <t>2014</t>
        </is>
      </c>
      <c r="D61" s="8" t="inlineStr">
        <is>
          <t>2014 = first F56 year; on ANY Mini watch the timing-chain tensioner &amp; turbo (BMW mechanicals, ~$880/yr).</t>
        </is>
      </c>
    </row>
    <row r="62">
      <c r="A62" s="69" t="inlineStr">
        <is>
          <t>Mini Countryman</t>
        </is>
      </c>
      <c r="B62" s="32" t="inlineStr">
        <is>
          <t>2018-2020</t>
        </is>
      </c>
      <c r="C62" s="37" t="inlineStr">
        <is>
          <t>2011-2013</t>
        </is>
      </c>
      <c r="D62" s="8" t="inlineStr">
        <is>
          <t>2011-13 (R60) = timing chain/turbo; the F60 (2017+) is better.</t>
        </is>
      </c>
    </row>
    <row r="63">
      <c r="A63" s="69" t="inlineStr">
        <is>
          <t>Fiat 500</t>
        </is>
      </c>
      <c r="B63" s="32" t="inlineStr">
        <is>
          <t>2017-2019</t>
        </is>
      </c>
      <c r="C63" s="37" t="inlineStr">
        <is>
          <t>2012-2013</t>
        </is>
      </c>
      <c r="D63" s="8" t="inlineStr">
        <is>
          <t>2012-13 = early electrical/clutch gremlins; the simple engine can still go far if maintained.</t>
        </is>
      </c>
    </row>
    <row r="64">
      <c r="A64" s="69" t="inlineStr">
        <is>
          <t>Fiat 500X</t>
        </is>
      </c>
      <c r="B64" s="32" t="inlineStr">
        <is>
          <t>2019-2020</t>
        </is>
      </c>
      <c r="C64" s="37" t="inlineStr">
        <is>
          <t>2016</t>
        </is>
      </c>
      <c r="D64" s="8" t="inlineStr">
        <is>
          <t>2016 = first year, worst-in-class reliability (electrical, transmission).</t>
        </is>
      </c>
    </row>
    <row r="65">
      <c r="A65" s="69" t="inlineStr">
        <is>
          <t>Buick Encore</t>
        </is>
      </c>
      <c r="B65" s="32" t="inlineStr">
        <is>
          <t>2017-2020</t>
        </is>
      </c>
      <c r="C65" s="37" t="inlineStr">
        <is>
          <t>2013-2014</t>
        </is>
      </c>
      <c r="D65" s="8" t="inlineStr">
        <is>
          <t>2013-14 = first years, 1.4T turbo (timing chain / carbon).</t>
        </is>
      </c>
    </row>
    <row r="66">
      <c r="A66" s="69" t="inlineStr">
        <is>
          <t>Buick Enclave</t>
        </is>
      </c>
      <c r="B66" s="32" t="inlineStr">
        <is>
          <t>2019-2021</t>
        </is>
      </c>
      <c r="C66" s="37" t="inlineStr">
        <is>
          <t>2008-2013</t>
        </is>
      </c>
      <c r="D66" s="8" t="inlineStr">
        <is>
          <t>2008-13 = 6T75 transmission + timing chain (shared GM Lambda issues). New gen (2018+) better.</t>
        </is>
      </c>
    </row>
    <row r="67">
      <c r="A67" s="69" t="inlineStr">
        <is>
          <t>Porsche 996 Carrera</t>
        </is>
      </c>
      <c r="B67" s="32" t="inlineStr">
        <is>
          <t>2002-2004</t>
        </is>
      </c>
      <c r="C67" s="37" t="inlineStr">
        <is>
          <t>1999-2001</t>
        </is>
      </c>
      <c r="D67" s="8" t="inlineStr">
        <is>
          <t>IMS-BEARING failure risk (worse on the early single-row 1999-2001) + RMS leaks. Get an IMS/PPI inspection.</t>
        </is>
      </c>
    </row>
    <row r="68">
      <c r="A68" s="69" t="inlineStr">
        <is>
          <t>Porsche 996 Turbo</t>
        </is>
      </c>
      <c r="B68" s="32" t="inlineStr">
        <is>
          <t>2001-2005 (all)</t>
        </is>
      </c>
      <c r="C68" s="37" t="inlineStr">
        <is>
          <t>(none — Mezger)</t>
        </is>
      </c>
      <c r="D68" s="8" t="inlineStr">
        <is>
          <t>The Turbo uses the bulletproof Mezger engine — NO IMS issue. The reliable 996 to own.</t>
        </is>
      </c>
    </row>
    <row r="69">
      <c r="A69" s="69" t="inlineStr">
        <is>
          <t>Volvo XC90</t>
        </is>
      </c>
      <c r="B69" s="32" t="inlineStr">
        <is>
          <t>2019-2022</t>
        </is>
      </c>
      <c r="C69" s="37" t="inlineStr">
        <is>
          <t>2016, 2017</t>
        </is>
      </c>
      <c r="D69" s="8" t="inlineStr">
        <is>
          <t>2016 = first year of the SPA platform (electrical/software/transmission gremlins); repairs run high (~$850/yr) whatever the year.</t>
        </is>
      </c>
    </row>
    <row r="70">
      <c r="A70" s="69" t="inlineStr">
        <is>
          <t>Volvo XC60</t>
        </is>
      </c>
      <c r="B70" s="32" t="inlineStr">
        <is>
          <t>2020-2022</t>
        </is>
      </c>
      <c r="C70" s="37" t="inlineStr">
        <is>
          <t>2018</t>
        </is>
      </c>
      <c r="D70" s="8" t="inlineStr">
        <is>
          <t>2018 = first year of the 2nd gen; Volvo parts &amp; labor are pricey regardless of year.</t>
        </is>
      </c>
    </row>
    <row r="71">
      <c r="A71" s="69" t="inlineStr">
        <is>
          <t>Volvo V90 Cross Country</t>
        </is>
      </c>
      <c r="B71" s="32" t="inlineStr">
        <is>
          <t>2019-2022</t>
        </is>
      </c>
      <c r="C71" s="37" t="inlineStr">
        <is>
          <t>2017</t>
        </is>
      </c>
      <c r="D71" s="8" t="inlineStr">
        <is>
          <t>2017 = first model year; otherwise a lovely wagon that's costly to fix.</t>
        </is>
      </c>
    </row>
    <row r="73">
      <c r="A73" s="70" t="inlineStr">
        <is>
          <t>HOW TO USE: find the car + year on your listing here first. A "sweet-spot" year is a confident buy; an "avoid" year isn't necessarily a no — but budget for the named repair, and for any recall-based issue (Theta II engines, Pacifica battery, Telluride) CONFIRM in writing that the recall work was completed (free at the dealer; check the VIN at the manufacturer recall site). Rule of thumb this table keeps proving: the FIRST year of a new generation and the KNOWN-bad-engine years (Theta II 2011-2015 Hyundai/Kia, Subaru EJ25 head gaskets, Honda 1.5T oil dilution 2017-2018) are where the landmines cluster.</t>
        </is>
      </c>
    </row>
    <row r="74"/>
    <row r="75"/>
    <row r="76"/>
    <row r="77"/>
  </sheetData>
  <mergeCells count="2">
    <mergeCell ref="A73:D77"/>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26" customWidth="1" min="1" max="1"/>
    <col width="9" customWidth="1" min="2" max="2"/>
    <col width="16" customWidth="1" min="3" max="3"/>
    <col width="16" customWidth="1" min="4" max="4"/>
    <col width="16" customWidth="1" min="5" max="5"/>
  </cols>
  <sheetData>
    <row r="1">
      <c r="A1" s="6" t="inlineStr">
        <is>
          <t>MEDIAN $/mile UNDER 3 ENERGY-PRICE SCENARIOS (leaving California)</t>
        </is>
      </c>
    </row>
    <row r="3">
      <c r="A3" s="7" t="inlineStr">
        <is>
          <t>Vehicle</t>
        </is>
      </c>
      <c r="B3" s="7" t="inlineStr">
        <is>
          <t>Energy</t>
        </is>
      </c>
      <c r="C3" s="7" t="inlineStr">
        <is>
          <t>$/mi California</t>
        </is>
      </c>
      <c r="D3" s="7" t="inlineStr">
        <is>
          <t>$/mi US avg</t>
        </is>
      </c>
      <c r="E3" s="7" t="inlineStr">
        <is>
          <t>$/mi cheap state</t>
        </is>
      </c>
    </row>
    <row r="4">
      <c r="A4" s="27" t="inlineStr">
        <is>
          <t>Chevy Bolt EV</t>
        </is>
      </c>
      <c r="B4" s="16" t="inlineStr">
        <is>
          <t>electric</t>
        </is>
      </c>
      <c r="C4" s="29" t="n">
        <v>0.3152926453254716</v>
      </c>
      <c r="D4" s="29" t="n">
        <v>0.2829626012313424</v>
      </c>
      <c r="E4" s="29" t="n">
        <v>0.2700758004385776</v>
      </c>
    </row>
    <row r="5">
      <c r="A5" s="27" t="inlineStr">
        <is>
          <t>Chevy Volt</t>
        </is>
      </c>
      <c r="B5" s="16" t="inlineStr">
        <is>
          <t>plug-in</t>
        </is>
      </c>
      <c r="C5" s="29" t="n">
        <v>0.3354422650337351</v>
      </c>
      <c r="D5" s="29" t="n">
        <v>0.3024190331713771</v>
      </c>
      <c r="E5" s="29" t="n">
        <v>0.2885067539456441</v>
      </c>
    </row>
    <row r="6">
      <c r="A6" s="8" t="inlineStr">
        <is>
          <t>Toyota Prius (hybrid)</t>
        </is>
      </c>
      <c r="B6" s="16" t="inlineStr">
        <is>
          <t>hybrid</t>
        </is>
      </c>
      <c r="C6" s="29" t="n">
        <v>0.3530281827867495</v>
      </c>
      <c r="D6" s="29" t="n">
        <v>0.333612454111942</v>
      </c>
      <c r="E6" s="29" t="n">
        <v>0.3231437853593812</v>
      </c>
    </row>
    <row r="7">
      <c r="A7" s="27" t="inlineStr">
        <is>
          <t>Toyota Prius Prime</t>
        </is>
      </c>
      <c r="B7" s="16" t="inlineStr">
        <is>
          <t>plug-in</t>
        </is>
      </c>
      <c r="C7" s="29" t="n">
        <v>0.364195034172838</v>
      </c>
      <c r="D7" s="29" t="n">
        <v>0.3395202116352573</v>
      </c>
      <c r="E7" s="29" t="n">
        <v>0.3283740388790399</v>
      </c>
    </row>
    <row r="8">
      <c r="A8" s="8" t="inlineStr">
        <is>
          <t>Toyota Corolla</t>
        </is>
      </c>
      <c r="B8" s="16" t="inlineStr">
        <is>
          <t>gas</t>
        </is>
      </c>
      <c r="C8" s="29" t="n">
        <v>0.3682819829821932</v>
      </c>
      <c r="D8" s="29" t="n">
        <v>0.3359378369910653</v>
      </c>
      <c r="E8" s="29" t="n">
        <v>0.3184983601557236</v>
      </c>
    </row>
    <row r="9">
      <c r="A9" s="8" t="inlineStr">
        <is>
          <t>Toyota Camry Hybrid</t>
        </is>
      </c>
      <c r="B9" s="16" t="inlineStr">
        <is>
          <t>hybrid</t>
        </is>
      </c>
      <c r="C9" s="29" t="n">
        <v>0.3683668640652513</v>
      </c>
      <c r="D9" s="29" t="n">
        <v>0.3431457328291281</v>
      </c>
      <c r="E9" s="29" t="n">
        <v>0.3295468783695256</v>
      </c>
    </row>
    <row r="10">
      <c r="A10" s="8" t="inlineStr">
        <is>
          <t>Honda Civic</t>
        </is>
      </c>
      <c r="B10" s="16" t="inlineStr">
        <is>
          <t>gas</t>
        </is>
      </c>
      <c r="C10" s="29" t="n">
        <v>0.3850921745648563</v>
      </c>
      <c r="D10" s="29" t="n">
        <v>0.3541428774113122</v>
      </c>
      <c r="E10" s="29" t="n">
        <v>0.3374554820808747</v>
      </c>
    </row>
    <row r="11">
      <c r="A11" s="27" t="inlineStr">
        <is>
          <t>Nissan Leaf</t>
        </is>
      </c>
      <c r="B11" s="16" t="inlineStr">
        <is>
          <t>electric</t>
        </is>
      </c>
      <c r="C11" s="29" t="n">
        <v>0.385733012389765</v>
      </c>
      <c r="D11" s="29" t="n">
        <v>0.345934820667094</v>
      </c>
      <c r="E11" s="29" t="n">
        <v>0.3300712057846307</v>
      </c>
    </row>
    <row r="12">
      <c r="A12" s="8" t="inlineStr">
        <is>
          <t>Hyundai Elantra</t>
        </is>
      </c>
      <c r="B12" s="16" t="inlineStr">
        <is>
          <t>gas</t>
        </is>
      </c>
      <c r="C12" s="29" t="n">
        <v>0.3898466141426422</v>
      </c>
      <c r="D12" s="29" t="n">
        <v>0.3585890869445018</v>
      </c>
      <c r="E12" s="29" t="n">
        <v>0.3417354986119621</v>
      </c>
    </row>
    <row r="13">
      <c r="A13" s="8" t="inlineStr">
        <is>
          <t>Honda Accord</t>
        </is>
      </c>
      <c r="B13" s="16" t="inlineStr">
        <is>
          <t>gas</t>
        </is>
      </c>
      <c r="C13" s="29" t="n">
        <v>0.3898581659656805</v>
      </c>
      <c r="D13" s="29" t="n">
        <v>0.3557558870302356</v>
      </c>
      <c r="E13" s="29" t="n">
        <v>0.3373684513659831</v>
      </c>
    </row>
    <row r="14">
      <c r="A14" s="8" t="inlineStr">
        <is>
          <t>Kia K4</t>
        </is>
      </c>
      <c r="B14" s="16" t="inlineStr">
        <is>
          <t>gas</t>
        </is>
      </c>
      <c r="C14" s="29" t="n">
        <v>0.39582348039082</v>
      </c>
      <c r="D14" s="29" t="n">
        <v>0.3648198445492095</v>
      </c>
      <c r="E14" s="29" t="n">
        <v>0.3481031506158019</v>
      </c>
    </row>
    <row r="15">
      <c r="A15" s="8" t="inlineStr">
        <is>
          <t>Mazda3 (SkyActiv)</t>
        </is>
      </c>
      <c r="B15" s="16" t="inlineStr">
        <is>
          <t>gas</t>
        </is>
      </c>
      <c r="C15" s="29" t="n">
        <v>0.3961842955925805</v>
      </c>
      <c r="D15" s="29" t="n">
        <v>0.3589150941121719</v>
      </c>
      <c r="E15" s="29" t="n">
        <v>0.338820101464428</v>
      </c>
    </row>
    <row r="16">
      <c r="A16" s="8" t="inlineStr">
        <is>
          <t>Toyota Camry</t>
        </is>
      </c>
      <c r="B16" s="16" t="inlineStr">
        <is>
          <t>gas</t>
        </is>
      </c>
      <c r="C16" s="29" t="n">
        <v>0.3970558531396984</v>
      </c>
      <c r="D16" s="29" t="n">
        <v>0.3640076237619958</v>
      </c>
      <c r="E16" s="29" t="n">
        <v>0.3461885157589712</v>
      </c>
    </row>
    <row r="17">
      <c r="A17" s="8" t="inlineStr">
        <is>
          <t>Toyota RAV4 Hybrid</t>
        </is>
      </c>
      <c r="B17" s="16" t="inlineStr">
        <is>
          <t>hybrid</t>
        </is>
      </c>
      <c r="C17" s="29" t="n">
        <v>0.3982394950195823</v>
      </c>
      <c r="D17" s="29" t="n">
        <v>0.3736977282562632</v>
      </c>
      <c r="E17" s="29" t="n">
        <v>0.3604651768979847</v>
      </c>
    </row>
    <row r="18">
      <c r="A18" s="8" t="inlineStr">
        <is>
          <t>Kia Niro (hybrid)</t>
        </is>
      </c>
      <c r="B18" s="16" t="inlineStr">
        <is>
          <t>hybrid</t>
        </is>
      </c>
      <c r="C18" s="29" t="n">
        <v>0.4018587598341199</v>
      </c>
      <c r="D18" s="29" t="n">
        <v>0.3787684218942995</v>
      </c>
      <c r="E18" s="29" t="n">
        <v>0.36631845911797</v>
      </c>
    </row>
    <row r="19">
      <c r="A19" s="27" t="inlineStr">
        <is>
          <t>Tesla Model 3</t>
        </is>
      </c>
      <c r="B19" s="16" t="inlineStr">
        <is>
          <t>electric</t>
        </is>
      </c>
      <c r="C19" s="29" t="n">
        <v>0.4130672111910343</v>
      </c>
      <c r="D19" s="29" t="n">
        <v>0.3862651643131436</v>
      </c>
      <c r="E19" s="29" t="n">
        <v>0.3755818309422361</v>
      </c>
    </row>
    <row r="20">
      <c r="A20" s="8" t="inlineStr">
        <is>
          <t>Hyundai Sonata</t>
        </is>
      </c>
      <c r="B20" s="16" t="inlineStr">
        <is>
          <t>gas</t>
        </is>
      </c>
      <c r="C20" s="29" t="n">
        <v>0.4222673255179507</v>
      </c>
      <c r="D20" s="29" t="n">
        <v>0.3864694964876847</v>
      </c>
      <c r="E20" s="29" t="n">
        <v>0.3671678457252842</v>
      </c>
    </row>
    <row r="21">
      <c r="A21" s="8" t="inlineStr">
        <is>
          <t>Toyota RAV4</t>
        </is>
      </c>
      <c r="B21" s="16" t="inlineStr">
        <is>
          <t>gas</t>
        </is>
      </c>
      <c r="C21" s="29" t="n">
        <v>0.4312262561965934</v>
      </c>
      <c r="D21" s="29" t="n">
        <v>0.3926174198516298</v>
      </c>
      <c r="E21" s="29" t="n">
        <v>0.3718001162424331</v>
      </c>
    </row>
    <row r="22">
      <c r="A22" s="8" t="inlineStr">
        <is>
          <t>Fiat 500</t>
        </is>
      </c>
      <c r="B22" s="16" t="inlineStr">
        <is>
          <t>gas</t>
        </is>
      </c>
      <c r="C22" s="29" t="n">
        <v>0.4344914796027848</v>
      </c>
      <c r="D22" s="29" t="n">
        <v>0.3985426615619667</v>
      </c>
      <c r="E22" s="29" t="n">
        <v>0.3791595997970114</v>
      </c>
    </row>
    <row r="23">
      <c r="A23" s="8" t="inlineStr">
        <is>
          <t>Honda CR-V</t>
        </is>
      </c>
      <c r="B23" s="16" t="inlineStr">
        <is>
          <t>gas</t>
        </is>
      </c>
      <c r="C23" s="29" t="n">
        <v>0.4375206379875091</v>
      </c>
      <c r="D23" s="29" t="n">
        <v>0.399341543634287</v>
      </c>
      <c r="E23" s="29" t="n">
        <v>0.3787559504407002</v>
      </c>
    </row>
    <row r="24">
      <c r="A24" s="27" t="inlineStr">
        <is>
          <t>VW ID.4 (AWD avail)</t>
        </is>
      </c>
      <c r="B24" s="16" t="inlineStr">
        <is>
          <t>electric</t>
        </is>
      </c>
      <c r="C24" s="29" t="n">
        <v>0.4375476981748795</v>
      </c>
      <c r="D24" s="29" t="n">
        <v>0.3978253031261836</v>
      </c>
      <c r="E24" s="29" t="n">
        <v>0.3819919009039762</v>
      </c>
    </row>
    <row r="25">
      <c r="A25" s="27" t="inlineStr">
        <is>
          <t>Toyota RAV4 Prime</t>
        </is>
      </c>
      <c r="B25" s="16" t="inlineStr">
        <is>
          <t>plug-in</t>
        </is>
      </c>
      <c r="C25" s="29" t="n">
        <v>0.4405502384742363</v>
      </c>
      <c r="D25" s="29" t="n">
        <v>0.4058724033713655</v>
      </c>
      <c r="E25" s="29" t="n">
        <v>0.3910929656487261</v>
      </c>
    </row>
    <row r="26">
      <c r="A26" s="8" t="inlineStr">
        <is>
          <t>Kia Soul</t>
        </is>
      </c>
      <c r="B26" s="16" t="inlineStr">
        <is>
          <t>gas</t>
        </is>
      </c>
      <c r="C26" s="29" t="n">
        <v>0.4407367739157515</v>
      </c>
      <c r="D26" s="29" t="n">
        <v>0.4002745825803176</v>
      </c>
      <c r="E26" s="29" t="n">
        <v>0.3784579778477326</v>
      </c>
    </row>
    <row r="27">
      <c r="A27" s="8" t="inlineStr">
        <is>
          <t>VW Passat</t>
        </is>
      </c>
      <c r="B27" s="16" t="inlineStr">
        <is>
          <t>gas</t>
        </is>
      </c>
      <c r="C27" s="29" t="n">
        <v>0.4467646000383586</v>
      </c>
      <c r="D27" s="29" t="n">
        <v>0.4058339742000378</v>
      </c>
      <c r="E27" s="29" t="n">
        <v>0.3837647966320404</v>
      </c>
    </row>
    <row r="28">
      <c r="A28" s="8" t="inlineStr">
        <is>
          <t>Buick Encore</t>
        </is>
      </c>
      <c r="B28" s="16" t="inlineStr">
        <is>
          <t>gas</t>
        </is>
      </c>
      <c r="C28" s="29" t="n">
        <v>0.4502565894681992</v>
      </c>
      <c r="D28" s="29" t="n">
        <v>0.4084368127359503</v>
      </c>
      <c r="E28" s="29" t="n">
        <v>0.3858882183850199</v>
      </c>
    </row>
    <row r="29">
      <c r="A29" s="8" t="inlineStr">
        <is>
          <t>Hyundai Kona</t>
        </is>
      </c>
      <c r="B29" s="16" t="inlineStr">
        <is>
          <t>gas</t>
        </is>
      </c>
      <c r="C29" s="29" t="n">
        <v>0.4557550994332152</v>
      </c>
      <c r="D29" s="29" t="n">
        <v>0.4161837167075579</v>
      </c>
      <c r="E29" s="29" t="n">
        <v>0.3948474225733477</v>
      </c>
    </row>
    <row r="30">
      <c r="A30" s="8" t="inlineStr">
        <is>
          <t>Mazda CX-5</t>
        </is>
      </c>
      <c r="B30" s="16" t="inlineStr">
        <is>
          <t>gas</t>
        </is>
      </c>
      <c r="C30" s="29" t="n">
        <v>0.4606047115054037</v>
      </c>
      <c r="D30" s="29" t="n">
        <v>0.417981130580019</v>
      </c>
      <c r="E30" s="29" t="n">
        <v>0.3949991371030091</v>
      </c>
    </row>
    <row r="31">
      <c r="A31" s="8" t="inlineStr">
        <is>
          <t>Toyota Highlander Hybrid</t>
        </is>
      </c>
      <c r="B31" s="16" t="inlineStr">
        <is>
          <t>hybrid</t>
        </is>
      </c>
      <c r="C31" s="29" t="n">
        <v>0.4698583947972037</v>
      </c>
      <c r="D31" s="29" t="n">
        <v>0.4402424846739715</v>
      </c>
      <c r="E31" s="29" t="n">
        <v>0.4242740315667741</v>
      </c>
    </row>
    <row r="32">
      <c r="A32" s="8" t="inlineStr">
        <is>
          <t>Subaru Outback</t>
        </is>
      </c>
      <c r="B32" s="16" t="inlineStr">
        <is>
          <t>gas</t>
        </is>
      </c>
      <c r="C32" s="29" t="n">
        <v>0.4705518832954737</v>
      </c>
      <c r="D32" s="29" t="n">
        <v>0.4311052780451594</v>
      </c>
      <c r="E32" s="29" t="n">
        <v>0.4098362620481247</v>
      </c>
    </row>
    <row r="33">
      <c r="A33" s="8" t="inlineStr">
        <is>
          <t>Subaru Forester</t>
        </is>
      </c>
      <c r="B33" s="16" t="inlineStr">
        <is>
          <t>gas</t>
        </is>
      </c>
      <c r="C33" s="29" t="n">
        <v>0.4713304542834669</v>
      </c>
      <c r="D33" s="29" t="n">
        <v>0.4327409864338292</v>
      </c>
      <c r="E33" s="29" t="n">
        <v>0.4119341260258741</v>
      </c>
    </row>
    <row r="34">
      <c r="A34" s="8" t="inlineStr">
        <is>
          <t>Toyota Sienna Hybrid</t>
        </is>
      </c>
      <c r="B34" s="16" t="inlineStr">
        <is>
          <t>hybrid</t>
        </is>
      </c>
      <c r="C34" s="29" t="n">
        <v>0.4728528714206878</v>
      </c>
      <c r="D34" s="29" t="n">
        <v>0.4446839690290442</v>
      </c>
      <c r="E34" s="29" t="n">
        <v>0.4294957207175624</v>
      </c>
    </row>
    <row r="35">
      <c r="A35" s="8" t="inlineStr">
        <is>
          <t>Toyota Tacoma</t>
        </is>
      </c>
      <c r="B35" s="16" t="inlineStr">
        <is>
          <t>gas</t>
        </is>
      </c>
      <c r="C35" s="29" t="n">
        <v>0.4810824292651504</v>
      </c>
      <c r="D35" s="29" t="n">
        <v>0.4330885760257039</v>
      </c>
      <c r="E35" s="29" t="n">
        <v>0.4072110125235572</v>
      </c>
    </row>
    <row r="36">
      <c r="A36" s="8" t="inlineStr">
        <is>
          <t>Nissan Rogue</t>
        </is>
      </c>
      <c r="B36" s="16" t="inlineStr">
        <is>
          <t>gas</t>
        </is>
      </c>
      <c r="C36" s="29" t="n">
        <v>0.4857550425413221</v>
      </c>
      <c r="D36" s="29" t="n">
        <v>0.4444053474922509</v>
      </c>
      <c r="E36" s="29" t="n">
        <v>0.4221102141115605</v>
      </c>
    </row>
    <row r="37">
      <c r="A37" s="8" t="inlineStr">
        <is>
          <t>Chevy Equinox</t>
        </is>
      </c>
      <c r="B37" s="16" t="inlineStr">
        <is>
          <t>gas</t>
        </is>
      </c>
      <c r="C37" s="29" t="n">
        <v>0.4879567331067297</v>
      </c>
      <c r="D37" s="29" t="n">
        <v>0.4440807172291399</v>
      </c>
      <c r="E37" s="29" t="n">
        <v>0.4204234296713171</v>
      </c>
    </row>
    <row r="38">
      <c r="A38" s="8" t="inlineStr">
        <is>
          <t>Toyota Sienna (V6)</t>
        </is>
      </c>
      <c r="B38" s="16" t="inlineStr">
        <is>
          <t>gas</t>
        </is>
      </c>
      <c r="C38" s="29" t="n">
        <v>0.4930715556142256</v>
      </c>
      <c r="D38" s="29" t="n">
        <v>0.4385159317030083</v>
      </c>
      <c r="E38" s="29" t="n">
        <v>0.40910036018975</v>
      </c>
    </row>
    <row r="39">
      <c r="A39" s="8" t="inlineStr">
        <is>
          <t>Mini Cooper</t>
        </is>
      </c>
      <c r="B39" s="16" t="inlineStr">
        <is>
          <t>gas</t>
        </is>
      </c>
      <c r="C39" s="29" t="n">
        <v>0.4934779180808627</v>
      </c>
      <c r="D39" s="29" t="n">
        <v>0.4548955874609953</v>
      </c>
      <c r="E39" s="29" t="n">
        <v>0.4340925753399383</v>
      </c>
    </row>
    <row r="40">
      <c r="A40" s="8" t="inlineStr">
        <is>
          <t>Ford Ranger (old compact)</t>
        </is>
      </c>
      <c r="B40" s="16" t="inlineStr">
        <is>
          <t>gas</t>
        </is>
      </c>
      <c r="C40" s="29" t="n">
        <v>0.4942734866197363</v>
      </c>
      <c r="D40" s="29" t="n">
        <v>0.4426793562654021</v>
      </c>
      <c r="E40" s="29" t="n">
        <v>0.4148605775163567</v>
      </c>
    </row>
    <row r="41">
      <c r="A41" s="8" t="inlineStr">
        <is>
          <t>Fiat 500X</t>
        </is>
      </c>
      <c r="B41" s="16" t="inlineStr">
        <is>
          <t>gas</t>
        </is>
      </c>
      <c r="C41" s="29" t="n">
        <v>0.5002165855684487</v>
      </c>
      <c r="D41" s="29" t="n">
        <v>0.4534627313662401</v>
      </c>
      <c r="E41" s="29" t="n">
        <v>0.4282537566866794</v>
      </c>
    </row>
    <row r="42">
      <c r="A42" s="8" t="inlineStr">
        <is>
          <t>VW GTI</t>
        </is>
      </c>
      <c r="B42" s="16" t="inlineStr">
        <is>
          <t>gas</t>
        </is>
      </c>
      <c r="C42" s="29" t="n">
        <v>0.5037651164389609</v>
      </c>
      <c r="D42" s="29" t="n">
        <v>0.4613380598104975</v>
      </c>
      <c r="E42" s="29" t="n">
        <v>0.4384620292772821</v>
      </c>
    </row>
    <row r="43">
      <c r="A43" s="8" t="inlineStr">
        <is>
          <t>Kia Sportage</t>
        </is>
      </c>
      <c r="B43" s="16" t="inlineStr">
        <is>
          <t>gas</t>
        </is>
      </c>
      <c r="C43" s="29" t="n">
        <v>0.5049447167589268</v>
      </c>
      <c r="D43" s="29" t="n">
        <v>0.4582018753725517</v>
      </c>
      <c r="E43" s="29" t="n">
        <v>0.4329988386375783</v>
      </c>
    </row>
    <row r="44">
      <c r="A44" s="8" t="inlineStr">
        <is>
          <t>Ford Escape</t>
        </is>
      </c>
      <c r="B44" s="16" t="inlineStr">
        <is>
          <t>gas</t>
        </is>
      </c>
      <c r="C44" s="29" t="n">
        <v>0.5060994488588576</v>
      </c>
      <c r="D44" s="29" t="n">
        <v>0.4588798483202257</v>
      </c>
      <c r="E44" s="29" t="n">
        <v>0.4334197502241608</v>
      </c>
    </row>
    <row r="45">
      <c r="A45" s="8" t="inlineStr">
        <is>
          <t>Toyota Highlander</t>
        </is>
      </c>
      <c r="B45" s="16" t="inlineStr">
        <is>
          <t>gas</t>
        </is>
      </c>
      <c r="C45" s="29" t="n">
        <v>0.5119597235722664</v>
      </c>
      <c r="D45" s="29" t="n">
        <v>0.4648414586666306</v>
      </c>
      <c r="E45" s="29" t="n">
        <v>0.4394359992190778</v>
      </c>
    </row>
    <row r="46">
      <c r="A46" s="8" t="inlineStr">
        <is>
          <t>Hyundai Tucson</t>
        </is>
      </c>
      <c r="B46" s="16" t="inlineStr">
        <is>
          <t>gas</t>
        </is>
      </c>
      <c r="C46" s="29" t="n">
        <v>0.5194074236385848</v>
      </c>
      <c r="D46" s="29" t="n">
        <v>0.4714417773816623</v>
      </c>
      <c r="E46" s="29" t="n">
        <v>0.4455794226600613</v>
      </c>
    </row>
    <row r="47">
      <c r="A47" s="8" t="inlineStr">
        <is>
          <t>Toyota 4Runner</t>
        </is>
      </c>
      <c r="B47" s="16" t="inlineStr">
        <is>
          <t>gas</t>
        </is>
      </c>
      <c r="C47" s="29" t="n">
        <v>0.5214386728843683</v>
      </c>
      <c r="D47" s="29" t="n">
        <v>0.466735334921932</v>
      </c>
      <c r="E47" s="29" t="n">
        <v>0.437240118214913</v>
      </c>
    </row>
    <row r="48">
      <c r="A48" s="8" t="inlineStr">
        <is>
          <t>Honda Odyssey</t>
        </is>
      </c>
      <c r="B48" s="16" t="inlineStr">
        <is>
          <t>gas</t>
        </is>
      </c>
      <c r="C48" s="29" t="n">
        <v>0.5221269923146883</v>
      </c>
      <c r="D48" s="29" t="n">
        <v>0.471224296072668</v>
      </c>
      <c r="E48" s="29" t="n">
        <v>0.4437783281929579</v>
      </c>
    </row>
    <row r="49">
      <c r="A49" s="8" t="inlineStr">
        <is>
          <t>Kia Sorento</t>
        </is>
      </c>
      <c r="B49" s="16" t="inlineStr">
        <is>
          <t>gas</t>
        </is>
      </c>
      <c r="C49" s="29" t="n">
        <v>0.5224673519417531</v>
      </c>
      <c r="D49" s="29" t="n">
        <v>0.4736436194505982</v>
      </c>
      <c r="E49" s="29" t="n">
        <v>0.4473185975431416</v>
      </c>
    </row>
    <row r="50">
      <c r="A50" s="8" t="inlineStr">
        <is>
          <t>Hyundai Santa Fe</t>
        </is>
      </c>
      <c r="B50" s="16" t="inlineStr">
        <is>
          <t>gas</t>
        </is>
      </c>
      <c r="C50" s="29" t="n">
        <v>0.5235250442416632</v>
      </c>
      <c r="D50" s="29" t="n">
        <v>0.4749353849223622</v>
      </c>
      <c r="E50" s="29" t="n">
        <v>0.448736571747065</v>
      </c>
    </row>
    <row r="51">
      <c r="A51" s="8" t="inlineStr">
        <is>
          <t>VW Tiguan</t>
        </is>
      </c>
      <c r="B51" s="16" t="inlineStr">
        <is>
          <t>gas</t>
        </is>
      </c>
      <c r="C51" s="29" t="n">
        <v>0.5249372743305387</v>
      </c>
      <c r="D51" s="29" t="n">
        <v>0.4760454598002227</v>
      </c>
      <c r="E51" s="29" t="n">
        <v>0.4496837290816824</v>
      </c>
    </row>
    <row r="52">
      <c r="A52" s="27" t="inlineStr">
        <is>
          <t>Chrysler Pacifica PHEV</t>
        </is>
      </c>
      <c r="B52" s="16" t="inlineStr">
        <is>
          <t>plug-in</t>
        </is>
      </c>
      <c r="C52" s="29" t="n">
        <v>0.5394140683677028</v>
      </c>
      <c r="D52" s="29" t="n">
        <v>0.4953978161074151</v>
      </c>
      <c r="E52" s="29" t="n">
        <v>0.4747272000690086</v>
      </c>
    </row>
    <row r="53">
      <c r="A53" s="8" t="inlineStr">
        <is>
          <t>Subaru Ascent</t>
        </is>
      </c>
      <c r="B53" s="16" t="inlineStr">
        <is>
          <t>gas</t>
        </is>
      </c>
      <c r="C53" s="29" t="n">
        <v>0.5438344070889191</v>
      </c>
      <c r="D53" s="29" t="n">
        <v>0.4911125838375132</v>
      </c>
      <c r="E53" s="29" t="n">
        <v>0.4626857700467865</v>
      </c>
    </row>
    <row r="54">
      <c r="A54" s="8" t="inlineStr">
        <is>
          <t>Ford Ranger (2019+ midsize)</t>
        </is>
      </c>
      <c r="B54" s="16" t="inlineStr">
        <is>
          <t>gas</t>
        </is>
      </c>
      <c r="C54" s="29" t="n">
        <v>0.5489005721811987</v>
      </c>
      <c r="D54" s="29" t="n">
        <v>0.4956103546745562</v>
      </c>
      <c r="E54" s="29" t="n">
        <v>0.4668770712540468</v>
      </c>
    </row>
    <row r="55">
      <c r="A55" s="8" t="inlineStr">
        <is>
          <t>Honda Pilot</t>
        </is>
      </c>
      <c r="B55" s="16" t="inlineStr">
        <is>
          <t>gas</t>
        </is>
      </c>
      <c r="C55" s="29" t="n">
        <v>0.5494953665351621</v>
      </c>
      <c r="D55" s="29" t="n">
        <v>0.4928592418138421</v>
      </c>
      <c r="E55" s="29" t="n">
        <v>0.4623218955691178</v>
      </c>
    </row>
    <row r="56">
      <c r="A56" s="8" t="inlineStr">
        <is>
          <t>Mini Countryman</t>
        </is>
      </c>
      <c r="B56" s="16" t="inlineStr">
        <is>
          <t>gas</t>
        </is>
      </c>
      <c r="C56" s="29" t="n">
        <v>0.5505861063159245</v>
      </c>
      <c r="D56" s="29" t="n">
        <v>0.5050225513661196</v>
      </c>
      <c r="E56" s="29" t="n">
        <v>0.4804553681329961</v>
      </c>
    </row>
    <row r="57">
      <c r="A57" s="8" t="inlineStr">
        <is>
          <t>Toyota Sequoia</t>
        </is>
      </c>
      <c r="B57" s="16" t="inlineStr">
        <is>
          <t>gas</t>
        </is>
      </c>
      <c r="C57" s="29" t="n">
        <v>0.556596052957712</v>
      </c>
      <c r="D57" s="29" t="n">
        <v>0.493333198053568</v>
      </c>
      <c r="E57" s="29" t="n">
        <v>0.4592228186068195</v>
      </c>
    </row>
    <row r="58">
      <c r="A58" s="8" t="inlineStr">
        <is>
          <t>Hyundai Palisade</t>
        </is>
      </c>
      <c r="B58" s="16" t="inlineStr">
        <is>
          <t>gas</t>
        </is>
      </c>
      <c r="C58" s="29" t="n">
        <v>0.5643775070547176</v>
      </c>
      <c r="D58" s="29" t="n">
        <v>0.5122816283911502</v>
      </c>
      <c r="E58" s="29" t="n">
        <v>0.484192314503584</v>
      </c>
    </row>
    <row r="59">
      <c r="A59" s="8" t="inlineStr">
        <is>
          <t>Chrysler Pacifica</t>
        </is>
      </c>
      <c r="B59" s="16" t="inlineStr">
        <is>
          <t>gas</t>
        </is>
      </c>
      <c r="C59" s="29" t="n">
        <v>0.5655468246189478</v>
      </c>
      <c r="D59" s="29" t="n">
        <v>0.5091028141985974</v>
      </c>
      <c r="E59" s="29" t="n">
        <v>0.4786690530942077</v>
      </c>
    </row>
    <row r="60">
      <c r="A60" s="8" t="inlineStr">
        <is>
          <t>Chevy Colorado</t>
        </is>
      </c>
      <c r="B60" s="16" t="inlineStr">
        <is>
          <t>gas</t>
        </is>
      </c>
      <c r="C60" s="29" t="n">
        <v>0.5695866901225263</v>
      </c>
      <c r="D60" s="29" t="n">
        <v>0.5107137878620649</v>
      </c>
      <c r="E60" s="29" t="n">
        <v>0.4789704048250764</v>
      </c>
    </row>
    <row r="61">
      <c r="A61" s="8" t="inlineStr">
        <is>
          <t>Kia Telluride</t>
        </is>
      </c>
      <c r="B61" s="16" t="inlineStr">
        <is>
          <t>gas</t>
        </is>
      </c>
      <c r="C61" s="29" t="n">
        <v>0.5737646225505442</v>
      </c>
      <c r="D61" s="29" t="n">
        <v>0.5216687438869767</v>
      </c>
      <c r="E61" s="29" t="n">
        <v>0.4935794299994106</v>
      </c>
    </row>
    <row r="62">
      <c r="A62" s="8" t="inlineStr">
        <is>
          <t>Mazda CX-90</t>
        </is>
      </c>
      <c r="B62" s="16" t="inlineStr">
        <is>
          <t>gas</t>
        </is>
      </c>
      <c r="C62" s="29" t="n">
        <v>0.5822812204654567</v>
      </c>
      <c r="D62" s="29" t="n">
        <v>0.5382030706799584</v>
      </c>
      <c r="E62" s="29" t="n">
        <v>0.5144367955605048</v>
      </c>
    </row>
    <row r="63">
      <c r="A63" s="8" t="inlineStr">
        <is>
          <t>Chevy Traverse</t>
        </is>
      </c>
      <c r="B63" s="16" t="inlineStr">
        <is>
          <t>gas</t>
        </is>
      </c>
      <c r="C63" s="29" t="n">
        <v>0.5830848022993338</v>
      </c>
      <c r="D63" s="29" t="n">
        <v>0.5258890020476112</v>
      </c>
      <c r="E63" s="29" t="n">
        <v>0.4950498871783439</v>
      </c>
    </row>
    <row r="64">
      <c r="A64" s="8" t="inlineStr">
        <is>
          <t>VW Atlas</t>
        </is>
      </c>
      <c r="B64" s="16" t="inlineStr">
        <is>
          <t>gas</t>
        </is>
      </c>
      <c r="C64" s="29" t="n">
        <v>0.5894366273643885</v>
      </c>
      <c r="D64" s="29" t="n">
        <v>0.5335862202169992</v>
      </c>
      <c r="E64" s="29" t="n">
        <v>0.5034725210654288</v>
      </c>
    </row>
    <row r="65">
      <c r="A65" s="8" t="inlineStr">
        <is>
          <t>Ford Explorer</t>
        </is>
      </c>
      <c r="B65" s="16" t="inlineStr">
        <is>
          <t>gas</t>
        </is>
      </c>
      <c r="C65" s="29" t="n">
        <v>0.591674697773777</v>
      </c>
      <c r="D65" s="29" t="n">
        <v>0.5344788975220544</v>
      </c>
      <c r="E65" s="29" t="n">
        <v>0.503639782652787</v>
      </c>
    </row>
    <row r="66">
      <c r="A66" s="8" t="inlineStr">
        <is>
          <t>Buick Enclave</t>
        </is>
      </c>
      <c r="B66" s="16" t="inlineStr">
        <is>
          <t>gas</t>
        </is>
      </c>
      <c r="C66" s="29" t="n">
        <v>0.6010954285493497</v>
      </c>
      <c r="D66" s="29" t="n">
        <v>0.5411264387685838</v>
      </c>
      <c r="E66" s="29" t="n">
        <v>0.5087920618334999</v>
      </c>
    </row>
    <row r="67">
      <c r="A67" s="8" t="inlineStr">
        <is>
          <t>Volvo XC60</t>
        </is>
      </c>
      <c r="B67" s="16" t="inlineStr">
        <is>
          <t>gas</t>
        </is>
      </c>
      <c r="C67" s="29" t="n">
        <v>0.6188881812450326</v>
      </c>
      <c r="D67" s="29" t="n">
        <v>0.5691054043196995</v>
      </c>
      <c r="E67" s="29" t="n">
        <v>0.5422632800840966</v>
      </c>
    </row>
    <row r="68">
      <c r="A68" s="8" t="inlineStr">
        <is>
          <t>Chevy Tahoe</t>
        </is>
      </c>
      <c r="B68" s="16" t="inlineStr">
        <is>
          <t>gas</t>
        </is>
      </c>
      <c r="C68" s="29" t="n">
        <v>0.630479778342615</v>
      </c>
      <c r="D68" s="29" t="n">
        <v>0.5665572377815584</v>
      </c>
      <c r="E68" s="29" t="n">
        <v>0.5320911657549072</v>
      </c>
    </row>
    <row r="69">
      <c r="A69" s="8" t="inlineStr">
        <is>
          <t>Jeep Grand Cherokee L</t>
        </is>
      </c>
      <c r="B69" s="16" t="inlineStr">
        <is>
          <t>gas</t>
        </is>
      </c>
      <c r="C69" s="29" t="n">
        <v>0.6341794610952789</v>
      </c>
      <c r="D69" s="29" t="n">
        <v>0.5731331394357564</v>
      </c>
      <c r="E69" s="29" t="n">
        <v>0.5402178813622833</v>
      </c>
    </row>
    <row r="70">
      <c r="A70" s="8" t="inlineStr">
        <is>
          <t>Volvo V90 Cross Country</t>
        </is>
      </c>
      <c r="B70" s="16" t="inlineStr">
        <is>
          <t>gas</t>
        </is>
      </c>
      <c r="C70" s="29" t="n">
        <v>0.6399965886689315</v>
      </c>
      <c r="D70" s="29" t="n">
        <v>0.594196433897625</v>
      </c>
      <c r="E70" s="29" t="n">
        <v>0.5695016796008704</v>
      </c>
    </row>
    <row r="71">
      <c r="A71" s="8" t="inlineStr">
        <is>
          <t>Chevy Suburban</t>
        </is>
      </c>
      <c r="B71" s="16" t="inlineStr">
        <is>
          <t>gas</t>
        </is>
      </c>
      <c r="C71" s="29" t="n">
        <v>0.6407686318886119</v>
      </c>
      <c r="D71" s="29" t="n">
        <v>0.5773886015074137</v>
      </c>
      <c r="E71" s="29" t="n">
        <v>0.5432150428065796</v>
      </c>
    </row>
    <row r="72">
      <c r="A72" s="8" t="inlineStr">
        <is>
          <t>Volvo XC90</t>
        </is>
      </c>
      <c r="B72" s="16" t="inlineStr">
        <is>
          <t>gas</t>
        </is>
      </c>
      <c r="C72" s="29" t="n">
        <v>0.7031216146772931</v>
      </c>
      <c r="D72" s="29" t="n">
        <v>0.6498346194971216</v>
      </c>
      <c r="E72" s="29" t="n">
        <v>0.621103073506559</v>
      </c>
    </row>
    <row r="73">
      <c r="A73" s="8" t="inlineStr">
        <is>
          <t>Porsche 996 Carrera</t>
        </is>
      </c>
      <c r="B73" s="16" t="inlineStr">
        <is>
          <t>gas</t>
        </is>
      </c>
      <c r="C73" s="29" t="n">
        <v>0.8421432915376481</v>
      </c>
      <c r="D73" s="29" t="n">
        <v>0.784276752419942</v>
      </c>
      <c r="E73" s="29" t="n">
        <v>0.7530759852467588</v>
      </c>
    </row>
    <row r="74">
      <c r="A74" s="8" t="inlineStr">
        <is>
          <t>Porsche 996 Turbo</t>
        </is>
      </c>
      <c r="B74" s="16" t="inlineStr">
        <is>
          <t>gas</t>
        </is>
      </c>
      <c r="C74" s="29" t="n">
        <v>1.042592706764051</v>
      </c>
      <c r="D74" s="29" t="n">
        <v>0.9797796690190435</v>
      </c>
      <c r="E74" s="29" t="n">
        <v>0.9459118242160929</v>
      </c>
    </row>
  </sheetData>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42" customWidth="1" min="1" max="1"/>
    <col width="64" customWidth="1" min="2" max="2"/>
    <col width="44" customWidth="1" min="3" max="3"/>
  </cols>
  <sheetData>
    <row r="1">
      <c r="A1" s="6" t="inlineStr">
        <is>
          <t>MODEL &amp; METHOD — a full overview of how every variable feeds the cost-per-mile, then the adversarial-review log</t>
        </is>
      </c>
    </row>
    <row r="3">
      <c r="A3" s="71" t="inlineStr">
        <is>
          <t>PART 1 — MODEL OVERVIEW: how each variable enters the $/mile</t>
        </is>
      </c>
      <c r="B3" s="63" t="n"/>
      <c r="C3" s="64" t="n"/>
    </row>
    <row r="4">
      <c r="A4" s="72" t="inlineStr">
        <is>
          <t>Element</t>
        </is>
      </c>
      <c r="B4" s="72" t="inlineStr">
        <is>
          <t>How it works in the model</t>
        </is>
      </c>
      <c r="C4" s="72" t="inlineStr">
        <is>
          <t>Source / notes</t>
        </is>
      </c>
    </row>
    <row r="5">
      <c r="A5" s="73" t="inlineStr">
        <is>
          <t>FRAMING — 'drive to death' $/mile</t>
        </is>
      </c>
      <c r="B5" s="74" t="inlineStr">
        <is>
          <t>$/mile = (every lifetime cost, in today's dollars) ÷ (miles you drive from purchase to end-of-life). Costs are summed over the whole life, then divided by miles. Lower = cheaper to own per mile. This ranks vehicles on true lifetime cost, not sticker price.</t>
        </is>
      </c>
      <c r="C5" s="74" t="inlineStr">
        <is>
          <t>The headline number on the Ranking tab.</t>
        </is>
      </c>
    </row>
    <row r="6">
      <c r="A6" s="73" t="inlineStr">
        <is>
          <t>THE COST EQUATION</t>
        </is>
      </c>
      <c r="B6" s="74" t="inlineStr">
        <is>
          <t>$/mi = Depreciation + Fuel/energy + Maintenance&amp;repair + Major-repair tail + Insurance + Registration + Tires + EV-battery reserve — each discounted to present value, then ÷ miles.</t>
        </is>
      </c>
      <c r="C6" s="74" t="inlineStr">
        <is>
          <t>Every term below is one piece of this sum.</t>
        </is>
      </c>
    </row>
    <row r="7">
      <c r="A7" s="73" t="inlineStr">
        <is>
          <t>ODOMETER = the master variable</t>
        </is>
      </c>
      <c r="B7" s="74" t="inlineStr">
        <is>
          <t>The buy ODOMETER drives almost everything: it reads the purchase PRICE off each car's price-vs-odometer curve, sets how many miles remain to end-of-life (the denominator), and — divided by 13,000 mi/yr — sets the car's AGE that the repair curve climbs with. Move the odometer and the whole cost moves.</t>
        </is>
      </c>
      <c r="C7" s="74" t="inlineStr">
        <is>
          <t>Each car is bought at a model-chosen cost-optimal odometer, capped to keep ≥35% of life left.</t>
        </is>
      </c>
    </row>
    <row r="8">
      <c r="A8" s="73" t="inlineStr">
        <is>
          <t>MODEL YEAR — now drives repair cost (3 ways)</t>
        </is>
      </c>
      <c r="B8" s="74" t="inlineStr">
        <is>
          <t>(1) YEAR-RELIABILITY MULTIPLIER (new): each model has known good/bad model-years, and a multiplier now SCALES the repair portion of $/mi — landmine years (bad engine/transmission, e.g. Theta-II 2011-15 Hyundai/Kia, Subaru head-gasket, Honda 1.5T oil-dilution) ×1.40, first-year-of-generation/minor ×1.15, verified sweet-spot years ×0.95, everything else ×1.00. In the RANKING &amp; HEAT-MAP the year is read from the odometer (≈2026 − odo÷13,000, clamped to production years), so buying at an odometer that IMPLIES a bad year now costs more — the sweet-spot shifts to avoid landmine years, and the optimizer already steers away from them. In the ANY-CAR CALCULATOR you pick the year directly and see the exact 'Year rel. ×' it applies. (2) CALENDAR AGE: a small time-based surcharge (~$0.0007/mi per year of age) that separates a garage-kept 2008/90k from a 2019/90k at the SAME odometer. (3) BOUNDS: first production year greys out impossible old heat-map cells; last year caps the label.</t>
        </is>
      </c>
      <c r="C8" s="74" t="inlineStr">
        <is>
          <t>Good/bad years + the specific failure mode per model are on the Year Reliability tab (sources: iSeeCars / RepairPal / CarComplaints / ARI).</t>
        </is>
      </c>
    </row>
    <row r="9">
      <c r="A9" s="73" t="inlineStr">
        <is>
          <t>PURCHASE PRICE &amp; DEPRECIATION</t>
        </is>
      </c>
      <c r="B9" s="74" t="inlineStr">
        <is>
          <t>Price = the car's verified price-by-odometer curve at the buy point. Depreciation = purchase price − resale value, ÷ miles. Normal cars resell at scrap (~$400–800); 'Sport'/collector cars (996) RETAIN most value, so their depreciation nearly vanishes and maintenance dominates.</t>
        </is>
      </c>
      <c r="C9" s="74" t="inlineStr">
        <is>
          <t>7 core models wide-verified from cars.com; the rest are market-estimate curves with live verify links. Editable on the Ranking tab.</t>
        </is>
      </c>
    </row>
    <row r="10">
      <c r="A10" s="73" t="inlineStr">
        <is>
          <t>END-OF-LIFE (EOL) = the denominator</t>
        </is>
      </c>
      <c r="B10" s="74" t="inlineStr">
        <is>
          <t>Miles driven before retirement = iSeeCars EMPIRICAL retirement mileage × 1.30 ('maintained / non-crashed' bonus). Sets how many miles the costs spread over. Sport cars instead use a realistic ~70k-mi ownership.</t>
        </is>
      </c>
      <c r="C10" s="74" t="inlineStr">
        <is>
          <t>The single biggest lever. The '$/mi if EOL=empirical' column shows the pessimistic no-bonus case.</t>
        </is>
      </c>
    </row>
    <row r="11">
      <c r="A11" s="73" t="inlineStr">
        <is>
          <t>FUEL / ENERGY</t>
        </is>
      </c>
      <c r="B11" s="74" t="inlineStr">
        <is>
          <t>gallons/mile = 1 ÷ MPG (× gas $); for EV/PHEV add kWh/mile × electricity $, with +8% lifetime degradation and a DC-fast-charge premium. Discounted over life.</t>
        </is>
      </c>
      <c r="C11" s="74" t="inlineStr">
        <is>
          <t>Gas &amp; electricity are EDITABLE yellow cells (Ranking D3 / F3). MPG from EPA.</t>
        </is>
      </c>
    </row>
    <row r="12">
      <c r="A12" s="73" t="inlineStr">
        <is>
          <t>MAINTENANCE &amp; REPAIR</t>
        </is>
      </c>
      <c r="B12" s="74" t="inlineStr">
        <is>
          <t>A scheduled+unscheduled cost that RISES with the car's age (odometer÷13k), scaled by reliability TIER — low (Toyota/Honda/Mazda) → mid (Kia/Hyundai/Subaru/VW/GM) → high (Fiat/Mini/Volvo/Chrysler). Plus a PROBABILISTIC major-repair tail past 120k mi (random events, ~$3.2–6k each, likelier for worse tiers).</t>
        </is>
      </c>
      <c r="C12" s="74" t="inlineStr">
        <is>
          <t>CarEdge/RepairPal-style curves + iSeeCars severe-repair rates.</t>
        </is>
      </c>
    </row>
    <row r="13">
      <c r="A13" s="73" t="inlineStr">
        <is>
          <t>INSURANCE — your USAA / Florida basis</t>
        </is>
      </c>
      <c r="B13" s="74" t="inlineStr">
        <is>
          <t>Per-model full-coverage premium × 0.8 (USAA active-duty discount), dropping to liability-only ($1176/yr) once the car is worth &lt;$6k. ÷ miles.</t>
        </is>
      </c>
      <c r="C13" s="74" t="inlineStr">
        <is>
          <t>Set for YOU. Premium is driven by GARAGING ZIP (Fresno), not FL registration — give your real USAA annual premium and it can be pinned exactly.</t>
        </is>
      </c>
    </row>
    <row r="14">
      <c r="A14" s="73" t="inlineStr">
        <is>
          <t>REGISTRATION — Florida</t>
        </is>
      </c>
      <c r="B14" s="74" t="inlineStr">
        <is>
          <t>Flat ~$55/yr (Florida home-of-record) — NOT California's value-based VLF + smog + $118 EV road fee.</t>
        </is>
      </c>
      <c r="C14" s="74" t="inlineStr">
        <is>
          <t>Because you're active-duty, FL-registered, driving in CA.</t>
        </is>
      </c>
    </row>
    <row r="15">
      <c r="A15" s="73" t="inlineStr">
        <is>
          <t>TIRES</t>
        </is>
      </c>
      <c r="B15" s="74" t="inlineStr">
        <is>
          <t>Per-mile by segment: car $0.018, SUV $0.022–0.024, truck/EV $0.030, exotic $0.05.</t>
        </is>
      </c>
      <c r="C15" s="74" t="inlineStr">
        <is>
          <t>Flat per-mile average.</t>
        </is>
      </c>
    </row>
    <row r="16">
      <c r="A16" s="73" t="inlineStr">
        <is>
          <t>EV / PHEV BATTERY</t>
        </is>
      </c>
      <c r="B16" s="74" t="inlineStr">
        <is>
          <t>Probability × pack cost (EV ~30%, Leaf ~55%, hybrid/PHEV lower; $8–14k pack), discounted to a mid-life event — a reserve, not a guaranteed line item.</t>
        </is>
      </c>
      <c r="C16" s="74" t="inlineStr">
        <is>
          <t>Most packs are under 8yr/100k warranty; this is the out-of-warranty risk.</t>
        </is>
      </c>
    </row>
    <row r="17">
      <c r="A17" s="73" t="inlineStr">
        <is>
          <t>TIME VALUE (discounting)</t>
        </is>
      </c>
      <c r="B17" s="74" t="inlineStr">
        <is>
          <t>All future costs discounted 5%/yr real to today's dollars — a repair in year 12 costs less today than one in year 1. Also captures the opportunity cost of capital tied up in the car.</t>
        </is>
      </c>
      <c r="C17" s="74" t="inlineStr">
        <is>
          <t>5% real is a modeling choice; higher rates penalize expensive up-front buys (EV/PHEV) more.</t>
        </is>
      </c>
    </row>
    <row r="18">
      <c r="A18" s="73" t="inlineStr">
        <is>
          <t>UNCERTAINTY (Monte Carlo)</t>
        </is>
      </c>
      <c r="B18" s="74" t="inlineStr">
        <is>
          <t>Each car is simulated N=1,100 times with random end-of-life, repair events, insurance noise and battery draws → we report P50 (median = the ranking), P75, and P90 'bad-luck' tail.</t>
        </is>
      </c>
      <c r="C18" s="74" t="inlineStr">
        <is>
          <t>Treat any cars within ±$0.05/mi as a statistical tie.</t>
        </is>
      </c>
    </row>
    <row r="19">
      <c r="A19" s="73" t="inlineStr">
        <is>
          <t>THE TABS</t>
        </is>
      </c>
      <c r="B19" s="74" t="inlineStr">
        <is>
          <t>Ranking = the answer (editable prices + energy). Any-Car Calculator = pick from a dropdown OR type any car → live $/mi + rank. Sweet-spot heat map = $/mi vs odometer with verify links. Beyond $/mile = capital, tail risk, 5yr cost, $/seat-mile, cargo, CO₂. Scenarios by state = leaving California. Lists = the dropdown source (helper).</t>
        </is>
      </c>
      <c r="C19" s="74" t="inlineStr">
        <is>
          <t>70 vehicles across 18 makes.</t>
        </is>
      </c>
    </row>
    <row r="21">
      <c r="A21" s="71" t="inlineStr">
        <is>
          <t>PART 2 — ADVERSARIAL REVIEW: what was flagged, and the fix</t>
        </is>
      </c>
      <c r="B21" s="63" t="n"/>
      <c r="C21" s="64" t="n"/>
    </row>
    <row r="22">
      <c r="A22" s="72" t="inlineStr">
        <is>
          <t>Review finding</t>
        </is>
      </c>
      <c r="B22" s="72" t="inlineStr">
        <is>
          <t>Fix applied in this version</t>
        </is>
      </c>
      <c r="C22" s="72" t="inlineStr">
        <is>
          <t>Residual limitation</t>
        </is>
      </c>
    </row>
    <row r="23">
      <c r="A23" s="73" t="inlineStr">
        <is>
          <t>EOL flattered Toyota (hand-set per brand)</t>
        </is>
      </c>
      <c r="B23" s="74" t="inlineStr">
        <is>
          <t>Base EOL = iSeeCars EMPIRICAL retirement mileage; ONE uniform 1.30 'maintained/non-crashed' multiplier applied to all. Both scenarios shown (P50 column vs '$/mi if EOL=empirical').</t>
        </is>
      </c>
      <c r="C23" s="74" t="inlineStr">
        <is>
          <t>EOL is still the biggest lever; the ×1.30 multiplier is a judgment. If you distrust it, read the empirical column.</t>
        </is>
      </c>
    </row>
    <row r="24">
      <c r="A24" s="73" t="inlineStr">
        <is>
          <t>Smooth repair plateau hid the tail</t>
        </is>
      </c>
      <c r="B24" s="74" t="inlineStr">
        <is>
          <t>Added a PROBABILISTIC major-repair stream past 120k (Poisson events, lognormal ~$3.2-3.9k, rate rising with mileage &amp; reliability tier). Surfaced as the P90 'bad-luck' column.</t>
        </is>
      </c>
      <c r="C24" s="74" t="inlineStr">
        <is>
          <t>Rare catastrophic events are hard to calibrate; P90 is indicative, not a guarantee.</t>
        </is>
      </c>
    </row>
    <row r="25">
      <c r="A25" s="73" t="inlineStr">
        <is>
          <t>Insurance was a flat 4-bucket guess</t>
        </is>
      </c>
      <c r="B25" s="74" t="inlineStr">
        <is>
          <t>Real per-model published full-coverage premiums (~$2.0-3.1k/yr), and it DROPS to liability-only ($1176/yr ×0.8 USAA) once the car is worth &lt;$6k — realistic for a car driven to death.</t>
        </is>
      </c>
      <c r="C25" s="74" t="inlineStr">
        <is>
          <t>Not a personalized Fresno quote; premium is set by GARAGING ZIP (Fresno), not the FL registration — give me your real USAA number to set it exactly.</t>
        </is>
      </c>
    </row>
    <row r="26">
      <c r="A26" s="73" t="inlineStr">
        <is>
          <t>Fragile 'optimal buy odometer'</t>
        </is>
      </c>
      <c r="B26" s="74" t="inlineStr">
        <is>
          <t>An optimizer DOES pick each buy odometer — it scans the verified price curve and takes the highest-mileage point still within 1.5¢/mi of the cost-optimal plateau (so timing barely matters across a wide band). Real listings in the Verify links.</t>
        </is>
      </c>
      <c r="C26" s="74" t="inlineStr">
        <is>
          <t>The plateau is flat, so the exact buy point is not critical; a different entry mileage shifts results only modestly.</t>
        </is>
      </c>
    </row>
    <row r="27">
      <c r="A27" s="73" t="inlineStr">
        <is>
          <t>EVs got a free pass (charging/battery/degradation)</t>
        </is>
      </c>
      <c r="B27" s="74" t="inlineStr">
        <is>
          <t>Battery = probability × cost (EV 30% / Leaf 55% of a $8-14k pack; hybrid/PHEV lower); +DC-fast-charge premium on ~15% of miles; +8% life-average efficiency loss; real EV insurance. NOTE: assumes ~85% home charging at the CA EV rate — if you have no home charger, EV $/mi rises sharply (see I-22).</t>
        </is>
      </c>
      <c r="C27" s="74" t="inlineStr">
        <is>
          <t>Result vs pre-EV version: EV ranking is inherently battery- and home-charging-assumption-sensitive.</t>
        </is>
      </c>
    </row>
    <row r="28">
      <c r="A28" s="73" t="inlineStr">
        <is>
          <t>No time value of money</t>
        </is>
      </c>
      <c r="B28" s="74" t="inlineStr">
        <is>
          <t>All cash flows discounted at 5% real (purchase at t0, scrap &amp; future repairs/insurance/energy discounted).</t>
        </is>
      </c>
      <c r="C28" s="74" t="inlineStr">
        <is>
          <t>Discount rate is a choice; higher rate penalizes expensive front-loaded buys (EV/PHEV) more.</t>
        </is>
      </c>
    </row>
    <row r="29">
      <c r="A29" s="73" t="inlineStr">
        <is>
          <t>Tires flat for everything</t>
        </is>
      </c>
      <c r="B29" s="74" t="inlineStr">
        <is>
          <t>Per-segment: car $0.018/mi, SUV $0.022-0.024, truck $0.030, EV/Tesla $0.030.</t>
        </is>
      </c>
      <c r="C29" s="74" t="inlineStr">
        <is>
          <t>Still an average; performance tires or heavy towing cost more.</t>
        </is>
      </c>
    </row>
    <row r="30">
      <c r="A30" s="73" t="inlineStr">
        <is>
          <t>Registration wrong form</t>
        </is>
      </c>
      <c r="B30" s="74" t="inlineStr">
        <is>
          <t>Switched to FLORIDA flat $55/yr (your home-of-record) — NOT California's VLF (~0.65% of value) + smog + $118 ZEV fee. No CA VLF/ZEV/smog is charged anywhere in the model.</t>
        </is>
      </c>
      <c r="C30" s="74" t="inlineStr">
        <is>
          <t>FL registration is also ~right in dollars; omits FL's one-time ~$225 initial-registration + ~$77 title fee (small per-mile).</t>
        </is>
      </c>
    </row>
    <row r="31">
      <c r="A31" s="73" t="inlineStr">
        <is>
          <t>Only expected cost, no variance</t>
        </is>
      </c>
      <c r="B31" s="74" t="inlineStr">
        <is>
          <t>Full Monte-Carlo (N=1,100): P50 median, P75, and P90 tail reported per vehicle.</t>
        </is>
      </c>
      <c r="C31" s="74" t="inlineStr">
        <is>
          <t>Distributions overlap across the top ~10 vehicles — treat the top tier as a statistical tie.</t>
        </is>
      </c>
    </row>
    <row r="32">
      <c r="A32" s="73" t="inlineStr">
        <is>
          <t>Survivorship bias in high-mile prices</t>
        </is>
      </c>
      <c r="B32" s="74" t="inlineStr">
        <is>
          <t>Buy points kept at moderate mileage with real listings; not sent to extreme-odometer survivor prices.</t>
        </is>
      </c>
      <c r="C32" s="74" t="inlineStr">
        <is>
          <t>Asking prices still run above wholesale; a ~5-15% haircut would raise all $/mile slightly &amp; evenly.</t>
        </is>
      </c>
    </row>
    <row r="33">
      <c r="A33" s="73" t="inlineStr">
        <is>
          <t>REVIEW-2: buy odometer could snap to a survivorship extreme</t>
        </is>
      </c>
      <c r="B33" s="74" t="inlineStr">
        <is>
          <t>_optbuy now capped so a vehicle keeps &gt;=~35% of empirical life left (fixes Mazda3 pinning at 125k just because it's cheap).</t>
        </is>
      </c>
      <c r="C33" s="74" t="inlineStr">
        <is>
          <t>Buy points are now more comparable across cars, but still model-chosen, not your specific listing.</t>
        </is>
      </c>
    </row>
    <row r="34">
      <c r="A34" s="73" t="inlineStr">
        <is>
          <t>REVIEW-2: Porsche 996 depreciated to scrap like a normal car</t>
        </is>
      </c>
      <c r="B34" s="74" t="inlineStr">
        <is>
          <t>'Sport' class now RETAINS value (resale ~ purchase) and is driven a realistic ~70k miles, not to mechanical death — so MAINTENANCE, not depreciation, is its main cost (per your note).</t>
        </is>
      </c>
      <c r="C34" s="74" t="inlineStr">
        <is>
          <t>A collector car's real cost is dominated by how few miles you drive it; see the Any-Car Calculator to vary that.</t>
        </is>
      </c>
    </row>
    <row r="35">
      <c r="A35" s="73" t="inlineStr">
        <is>
          <t>REVIEW-2: only expected $/mile was optimized</t>
        </is>
      </c>
      <c r="B35" s="74" t="inlineStr">
        <is>
          <t>Added the 'Beyond $ per mile' tab: bad-luck tail (P90-P50), up-front capital, 5yr/75k fixed-horizon cost, $/seat-mile, cargo, fuel-price sensitivity, CO2.</t>
        </is>
      </c>
      <c r="C35" s="74" t="inlineStr">
        <is>
          <t>Safety (IIHS/NHTSA), a personalized insurance quote, and resale liquidity still need per-trim / per-driver data.</t>
        </is>
      </c>
    </row>
    <row r="36">
      <c r="A36" s="73" t="inlineStr">
        <is>
          <t>REVIEW-2: new 3-row/van/996 prices not wide-verified</t>
        </is>
      </c>
      <c r="B36" s="74" t="inlineStr">
        <is>
          <t>Flagged as market-estimate curves with live verify-search links; far-odometer points on brand-new models (e.g. CX-90) trimmed.</t>
        </is>
      </c>
      <c r="C36" s="74" t="inlineStr">
        <is>
          <t>For the two you'll actually buy I can do the wide multi-year verified pull the original 7 models got.</t>
        </is>
      </c>
    </row>
    <row r="37">
      <c r="A37" s="73" t="inlineStr">
        <is>
          <t>YOUR PROFILE: USAA + active-duty + Florida home-of-record</t>
        </is>
      </c>
      <c r="B37" s="74" t="inlineStr">
        <is>
          <t>Insurance scaled to ~0.80x standard (USAA active-duty), and registration switched from CA (VLF ~0.65%/yr + smog + $118 ZEV) to FLORIDA flat (~$55/yr). Both lower your $/mile, especially on pricier cars &amp; EVs.</t>
        </is>
      </c>
      <c r="C37" s="74" t="inlineStr">
        <is>
          <t>Still not your exact USAA quote; give me your real annual premium and I'll set it precisely. Mini/Kia/Fiat/Buick/Hyundai just added are market-estimate curves, not wide-verified pulls.</t>
        </is>
      </c>
    </row>
    <row r="38">
      <c r="A38" s="73" t="inlineStr">
        <is>
          <t>REVIEW-3: within-model YEAR reliability now DRIVES the numbers</t>
        </is>
      </c>
      <c r="B38" s="74" t="inlineStr">
        <is>
          <t>You were right — reliability varies by model-year. Built a YEAR-RELIABILITY MULTIPLIER (landmine years ×1.40, first-year/minor ×1.15, verified-good ×0.95) that scales the repair cost, and wired it into the Ranking, Sweet-spot heat map (by implied year per odometer), the buy-point optimizer, AND the Any-Car Calculator (live off the year you pick). The Year Reliability tab lists the good/bad years + failure mode per model.</t>
        </is>
      </c>
      <c r="C38" s="74" t="inlineStr">
        <is>
          <t>Multipliers are a calibrated judgment (~2-3¢/mi for a bad year), not a per-VIN guarantee; for recall-based issues confirm the recall was done. Passat/exotics have thinner year data.</t>
        </is>
      </c>
    </row>
    <row r="40">
      <c r="A40" s="70" t="inlineStr">
        <is>
          <t>NET EFFECT / HONEST CONCLUSION: the ROBUST finding is the ordering by class — electric/hybrid/efficient-sedan &lt; gas SUV &lt; 3-row SUV &lt; truck &lt; exotic — because it is driven by fuel economy and depreciation scale, which are large and directionally certain. But DO NOT crown a single #1: the top ~10 (Prius, Bolt, Volt, Camry Hybrid, Prius Prime, Corolla, Camry, Civic, Accord, Mazda3) sit within a ~5-cent band that is inside their own P90-P50 bad-luck spread — that is a statistical TIE, and which one leads flips on three fragile assumptions: (1) the empirical-EOL x1.30 "maintained survival" multiplier (the single biggest lever — see the "$/mi if EOL=empirical" column, which moves cars +5-17c unevenly), (2) each car's model-chosen buy odometer, and (3) the EV battery-replacement probabilities. For YOUR family use-case the durable answer is: cheapest-to-drive = a hybrid/efficient sedan (Prius-class, ~$0.39-0.44); best space-per-dollar = the "Beyond $/mile" tab's $/seat-mile column favors the Sienna Hybrid &amp; Highlander Hybrid; the RAV4 Hybrid remains the best compact AWD SUV. Treat everything inside +-$0.05/mi as equal and choose on space, risk tolerance, and fit.</t>
        </is>
      </c>
    </row>
    <row r="41"/>
    <row r="42"/>
    <row r="43"/>
    <row r="44"/>
    <row r="45"/>
    <row r="46"/>
    <row r="47"/>
    <row r="48"/>
  </sheetData>
  <mergeCells count="4">
    <mergeCell ref="A1:C1"/>
    <mergeCell ref="A40:C48"/>
    <mergeCell ref="A3:C3"/>
    <mergeCell ref="A21:C2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7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16" customWidth="1" min="3" max="3"/>
    <col width="42" customWidth="1" min="4" max="4"/>
  </cols>
  <sheetData>
    <row r="1">
      <c r="A1" s="6" t="inlineStr">
        <is>
          <t>ASSUMPTIONS INVENTORY (the single source of truth) — every number the $/mile model sets on purpose (EXPLICIT, Part 1) and everything baked in that was never said out loud (IMPLICIT, Part 2), plus status (Part 3), the v1→v2 revision log (Part 4) and per-vehicle inputs (Part 5). The model is running v2 (explicit-cost layer ON: real resale, capital cost, calendar-age repairs, purchase tax, total-loss, repair hassle + per-make cost, revised EOL). Explicit tables are generated straight from the model dicts, so they stay in sync. Implicit list notes which vehicle each favors (↑) / penalizes (↓).</t>
        </is>
      </c>
    </row>
    <row r="3">
      <c r="A3" s="6" t="inlineStr">
        <is>
          <t>THE FORMULA</t>
        </is>
      </c>
    </row>
    <row r="4">
      <c r="A4" s="74" t="inlineStr">
        <is>
          <t>$/mile = [ (price − discounted resale) + Σ discounted(base maint×yr_mult + major-repair tail×yr_mult + insurance + registration) + lifetime tires + EV battery reserve ] ÷ lifetime miles  +  (gal/mi×gas$ + kWh/mi×elec$)×avg-discount-factor.  Lifetime miles = empirical-EOL×1.30 − buy odometer. All future costs discounted 5%/yr. Monte-Carlo N=1,100 → P50/P75/P90.</t>
        </is>
      </c>
      <c r="B4" s="74" t="inlineStr"/>
      <c r="C4" s="74" t="inlineStr"/>
      <c r="D4" s="74" t="inlineStr"/>
    </row>
    <row r="5">
      <c r="A5" s="6" t="inlineStr">
        <is>
          <t>PART 1 — EXPLICIT: global constants</t>
        </is>
      </c>
    </row>
    <row r="6">
      <c r="A6" s="68" t="inlineStr">
        <is>
          <t>Constant</t>
        </is>
      </c>
      <c r="B6" s="68" t="inlineStr">
        <is>
          <t>Value</t>
        </is>
      </c>
      <c r="C6" s="68" t="inlineStr">
        <is>
          <t>Notes</t>
        </is>
      </c>
      <c r="D6" s="68" t="inlineStr"/>
    </row>
    <row r="7">
      <c r="A7" s="73" t="inlineStr">
        <is>
          <t>Annual mileage (MPY)</t>
        </is>
      </c>
      <c r="B7" s="74" t="inlineStr">
        <is>
          <t>13,000 mi/yr</t>
        </is>
      </c>
      <c r="C7" s="74" t="inlineStr">
        <is>
          <t>converts odometer↔age↔year everywhere</t>
        </is>
      </c>
      <c r="D7" s="74" t="inlineStr"/>
    </row>
    <row r="8">
      <c r="A8" s="73" t="inlineStr">
        <is>
          <t>Real discount rate</t>
        </is>
      </c>
      <c r="B8" s="74" t="inlineStr">
        <is>
          <t>7%/yr</t>
        </is>
      </c>
      <c r="C8" s="74" t="inlineStr">
        <is>
          <t>future costs discounted; purchase at t0</t>
        </is>
      </c>
      <c r="D8" s="74" t="inlineStr"/>
    </row>
    <row r="9">
      <c r="A9" s="73" t="inlineStr">
        <is>
          <t>Gas price</t>
        </is>
      </c>
      <c r="B9" s="74" t="inlineStr">
        <is>
          <t>$5.455/gal</t>
        </is>
      </c>
      <c r="C9" s="74" t="inlineStr">
        <is>
          <t>California; editable cell Ranking!D3</t>
        </is>
      </c>
      <c r="D9" s="74" t="inlineStr"/>
    </row>
    <row r="10">
      <c r="A10" s="73" t="inlineStr">
        <is>
          <t>Electricity price</t>
        </is>
      </c>
      <c r="B10" s="74" t="inlineStr">
        <is>
          <t>$0.32/kWh</t>
        </is>
      </c>
      <c r="C10" s="74" t="inlineStr">
        <is>
          <t>California; editable cell Ranking!F3</t>
        </is>
      </c>
      <c r="D10" s="74" t="inlineStr"/>
    </row>
    <row r="11">
      <c r="A11" s="73" t="inlineStr">
        <is>
          <t>Fuel/elec escalation</t>
        </is>
      </c>
      <c r="B11" s="74" t="inlineStr">
        <is>
          <t>0%/yr</t>
        </is>
      </c>
      <c r="C11" s="74" t="inlineStr">
        <is>
          <t>held CONSTANT for the whole life (implicit I-9/I-10)</t>
        </is>
      </c>
      <c r="D11" s="74" t="inlineStr"/>
    </row>
    <row r="12">
      <c r="A12" s="73" t="inlineStr">
        <is>
          <t>Monte-Carlo draws</t>
        </is>
      </c>
      <c r="B12" s="74" t="inlineStr">
        <is>
          <t>1,100</t>
        </is>
      </c>
      <c r="C12" s="74" t="inlineStr">
        <is>
          <t>P50 = ranking; P75, P90 reported</t>
        </is>
      </c>
      <c r="D12" s="74" t="inlineStr"/>
    </row>
    <row r="13">
      <c r="A13" s="73" t="inlineStr">
        <is>
          <t>Insurance multiplier</t>
        </is>
      </c>
      <c r="B13" s="74" t="inlineStr">
        <is>
          <t>×0.8</t>
        </is>
      </c>
      <c r="C13" s="74" t="inlineStr">
        <is>
          <t>USAA active-duty vs standard full-coverage</t>
        </is>
      </c>
      <c r="D13" s="74" t="inlineStr"/>
    </row>
    <row r="14">
      <c r="A14" s="73" t="inlineStr">
        <is>
          <t>Liability floor</t>
        </is>
      </c>
      <c r="B14" s="74" t="inlineStr">
        <is>
          <t>$1176/yr</t>
        </is>
      </c>
      <c r="C14" s="74" t="inlineStr">
        <is>
          <t>once car value &lt; threshold</t>
        </is>
      </c>
      <c r="D14" s="74" t="inlineStr"/>
    </row>
    <row r="15">
      <c r="A15" s="73" t="inlineStr">
        <is>
          <t>Full-coverage threshold</t>
        </is>
      </c>
      <c r="B15" s="74" t="inlineStr">
        <is>
          <t>$6,000</t>
        </is>
      </c>
      <c r="C15" s="74" t="inlineStr">
        <is>
          <t>above=full, below=liability</t>
        </is>
      </c>
      <c r="D15" s="74" t="inlineStr"/>
    </row>
    <row r="16">
      <c r="A16" s="73" t="inlineStr">
        <is>
          <t>Registration</t>
        </is>
      </c>
      <c r="B16" s="74" t="inlineStr">
        <is>
          <t>$55/yr flat</t>
        </is>
      </c>
      <c r="C16" s="74" t="inlineStr">
        <is>
          <t>Florida home-of-record (not CA VLF+smog+ZEV)</t>
        </is>
      </c>
      <c r="D16" s="74" t="inlineStr"/>
    </row>
    <row r="17">
      <c r="A17" s="73" t="inlineStr">
        <is>
          <t>EOL maintained multiplier</t>
        </is>
      </c>
      <c r="B17" s="74" t="inlineStr">
        <is>
          <t>×1.30</t>
        </is>
      </c>
      <c r="C17" s="74" t="inlineStr">
        <is>
          <t>applied to every empirical retirement mileage</t>
        </is>
      </c>
      <c r="D17" s="74" t="inlineStr"/>
    </row>
    <row r="18">
      <c r="A18" s="73" t="inlineStr">
        <is>
          <t>Sport ownership miles</t>
        </is>
      </c>
      <c r="B18" s="74" t="inlineStr">
        <is>
          <t>70,000</t>
        </is>
      </c>
      <c r="C18" s="74" t="inlineStr">
        <is>
          <t>996 driven modestly, not to death</t>
        </is>
      </c>
      <c r="D18" s="74" t="inlineStr"/>
    </row>
    <row r="19">
      <c r="A19" s="73" t="inlineStr">
        <is>
          <t>Age surcharge (calc only)</t>
        </is>
      </c>
      <c r="B19" s="74" t="inlineStr">
        <is>
          <t>$9/yr-age ÷ 13,000 ≈ $0.0007/mi/yr</t>
        </is>
      </c>
      <c r="C19" s="74" t="inlineStr">
        <is>
          <t>separates 2008/90k from 2019/90k</t>
        </is>
      </c>
      <c r="D19" s="74" t="inlineStr"/>
    </row>
    <row r="20">
      <c r="A20" s="6" t="inlineStr">
        <is>
          <t>PART 1 — EXPLICIT: reliability tiers (major-repair tail, per event, past 120k mi)</t>
        </is>
      </c>
    </row>
    <row r="21">
      <c r="A21" s="68" t="inlineStr">
        <is>
          <t>Tier</t>
        </is>
      </c>
      <c r="B21" s="68" t="inlineStr">
        <is>
          <t>Annual prob (past 120k)</t>
        </is>
      </c>
      <c r="C21" s="68" t="inlineStr">
        <is>
          <t>Median $/event</t>
        </is>
      </c>
      <c r="D21" s="68" t="inlineStr">
        <is>
          <t>×1.13 effective</t>
        </is>
      </c>
    </row>
    <row r="22">
      <c r="A22" s="73" t="inlineStr">
        <is>
          <t>low</t>
        </is>
      </c>
      <c r="B22" s="74" t="inlineStr">
        <is>
          <t>0.05/yr</t>
        </is>
      </c>
      <c r="C22" s="74" t="inlineStr">
        <is>
          <t>$3,200</t>
        </is>
      </c>
      <c r="D22" s="74" t="inlineStr">
        <is>
          <t>$3,616</t>
        </is>
      </c>
    </row>
    <row r="23">
      <c r="A23" s="73" t="inlineStr">
        <is>
          <t>mid</t>
        </is>
      </c>
      <c r="B23" s="74" t="inlineStr">
        <is>
          <t>0.10/yr</t>
        </is>
      </c>
      <c r="C23" s="74" t="inlineStr">
        <is>
          <t>$3,600</t>
        </is>
      </c>
      <c r="D23" s="74" t="inlineStr">
        <is>
          <t>$4,068</t>
        </is>
      </c>
    </row>
    <row r="24">
      <c r="A24" s="73" t="inlineStr">
        <is>
          <t>high</t>
        </is>
      </c>
      <c r="B24" s="74" t="inlineStr">
        <is>
          <t>0.14/yr</t>
        </is>
      </c>
      <c r="C24" s="74" t="inlineStr">
        <is>
          <t>$3,900</t>
        </is>
      </c>
      <c r="D24" s="74" t="inlineStr">
        <is>
          <t>$4,407</t>
        </is>
      </c>
    </row>
    <row r="25">
      <c r="A25" s="73" t="inlineStr">
        <is>
          <t>sport</t>
        </is>
      </c>
      <c r="B25" s="74" t="inlineStr">
        <is>
          <t>0.20/yr</t>
        </is>
      </c>
      <c r="C25" s="74" t="inlineStr">
        <is>
          <t>$6,000</t>
        </is>
      </c>
      <c r="D25" s="74" t="inlineStr">
        <is>
          <t>$6,780</t>
        </is>
      </c>
    </row>
    <row r="26">
      <c r="A26" s="74" t="inlineStr">
        <is>
          <t>(rate escalates: prob × (1 + (odo−120,000)/100,000); below 120k the tail = $0)</t>
        </is>
      </c>
      <c r="B26" s="74" t="inlineStr"/>
      <c r="C26" s="74" t="inlineStr"/>
      <c r="D26" s="74" t="inlineStr"/>
    </row>
    <row r="27">
      <c r="A27" s="6" t="inlineStr">
        <is>
          <t>PART 1 — EXPLICIT: tires / scrap / battery / energy</t>
        </is>
      </c>
    </row>
    <row r="28">
      <c r="A28" s="68" t="inlineStr">
        <is>
          <t>Item</t>
        </is>
      </c>
      <c r="B28" s="68" t="inlineStr">
        <is>
          <t>Values</t>
        </is>
      </c>
      <c r="C28" s="68" t="inlineStr">
        <is>
          <t xml:space="preserve"> </t>
        </is>
      </c>
      <c r="D28" s="68" t="inlineStr">
        <is>
          <t xml:space="preserve"> </t>
        </is>
      </c>
    </row>
    <row r="29">
      <c r="A29" s="73" t="inlineStr">
        <is>
          <t>Tires $/mi (by class)</t>
        </is>
      </c>
      <c r="B29" s="74" t="inlineStr">
        <is>
          <t>Car 0.018 · SUV 0.022 · SUV AWD 0.024 · Truck 0.03 · EV 0.03 · EV SUV 0.03 · PHEV 0.024 · PHEV SUV AWD 0.026 · Van 0.02 · Sport 0.05</t>
        </is>
      </c>
      <c r="C29" s="74" t="inlineStr"/>
      <c r="D29" s="74" t="inlineStr"/>
    </row>
    <row r="30">
      <c r="A30" s="73" t="inlineStr">
        <is>
          <t>End-of-life resale (scrap $)</t>
        </is>
      </c>
      <c r="B30" s="74" t="inlineStr">
        <is>
          <t>Car $400 · SUV $450 · SUV AWD $500 · Truck $800 · EV $600 · EV SUV $700 · PHEV $600 · PHEV SUV AWD $800 · Van $500 · Sport $3000  (Sport = price×0.60–1.0 retention)</t>
        </is>
      </c>
      <c r="C30" s="74" t="inlineStr"/>
      <c r="D30" s="74" t="inlineStr"/>
    </row>
    <row r="31">
      <c r="A31" s="73" t="inlineStr">
        <is>
          <t>EV/PHEV battery reserve</t>
        </is>
      </c>
      <c r="B31" s="74" t="inlineStr">
        <is>
          <t>hybrid 15%×$2,500 · PHEV 22%×$4,000 · EV 30%×$12,000 (Tesla $14,000) · Leaf 55%×$8,000; discounted to ~65% of life</t>
        </is>
      </c>
      <c r="C31" s="74" t="inlineStr"/>
      <c r="D31" s="74" t="inlineStr"/>
    </row>
    <row r="32">
      <c r="A32" s="73" t="inlineStr">
        <is>
          <t>Energy modeling</t>
        </is>
      </c>
      <c r="B32" s="74" t="inlineStr">
        <is>
          <t>EV kWh/mi ×1.08 degrade; elec price ×1.09 EV / ×1.06 PHEV (DCFC); PHEV utility factor RAV4 Prime 0.75 / Volt 0.80 / Prius Prime 0.55</t>
        </is>
      </c>
      <c r="C32" s="74" t="inlineStr"/>
      <c r="D32" s="74" t="inlineStr"/>
    </row>
    <row r="33">
      <c r="A33" s="73" t="inlineStr">
        <is>
          <t>Year-reliability multiplier</t>
        </is>
      </c>
      <c r="B33" s="74" t="inlineStr">
        <is>
          <t>landmine ×1.40 · first-year/minor ×1.15 · sweet-spot ×0.95 · else ×1.00 (repair only)</t>
        </is>
      </c>
      <c r="C33" s="74" t="inlineStr"/>
      <c r="D33" s="74" t="inlineStr"/>
    </row>
    <row r="34">
      <c r="A34" s="6" t="inlineStr">
        <is>
          <t>PART 2 — IMPLICIT: baked in, never stated (↑ favors / ↓ penalizes)</t>
        </is>
      </c>
    </row>
    <row r="35">
      <c r="A35" s="68" t="inlineStr">
        <is>
          <t>#</t>
        </is>
      </c>
      <c r="B35" s="68" t="inlineStr">
        <is>
          <t>Implicit assumption</t>
        </is>
      </c>
      <c r="C35" s="68" t="inlineStr">
        <is>
          <t>Favors ↑ / Penalizes ↓</t>
        </is>
      </c>
      <c r="D35" s="68" t="inlineStr"/>
    </row>
    <row r="36">
      <c r="A36" s="73" t="inlineStr">
        <is>
          <t>I-1</t>
        </is>
      </c>
      <c r="B36" s="74" t="inlineStr">
        <is>
          <t>Everyone drives 13,000 mi/yr; mileage is the only thing that ages a car</t>
        </is>
      </c>
      <c r="C36" s="74" t="inlineStr">
        <is>
          <t>Couples year↔odo; ↓ the low-mileage-old-car case. Neutral across cars.</t>
        </is>
      </c>
      <c r="D36" s="74" t="inlineStr"/>
    </row>
    <row r="37">
      <c r="A37" s="73" t="inlineStr">
        <is>
          <t>I-2</t>
        </is>
      </c>
      <c r="B37" s="74" t="inlineStr">
        <is>
          <t>You drive it to end-of-life (never sell mid-life)</t>
        </is>
      </c>
      <c r="C37" s="74" t="inlineStr">
        <is>
          <t>↑ durable cheap-to-run (Toyota); a 5-yr frame looks different.</t>
        </is>
      </c>
      <c r="D37" s="74" t="inlineStr"/>
    </row>
    <row r="38">
      <c r="A38" s="73" t="inlineStr">
        <is>
          <t>I-3</t>
        </is>
      </c>
      <c r="B38" s="74" t="inlineStr">
        <is>
          <t>Resale = scrap (~$400–800); you extract ZERO value at the end</t>
        </is>
      </c>
      <c r="C38" s="74" t="inlineStr">
        <is>
          <t>↓ value-retainers (Tacoma, 4Runner, Toyotas); ↑ hard depreciators. BIGGEST hidden lever.</t>
        </is>
      </c>
      <c r="D38" s="74" t="inlineStr"/>
    </row>
    <row r="39">
      <c r="A39" s="73" t="inlineStr">
        <is>
          <t>I-4</t>
        </is>
      </c>
      <c r="B39" s="74" t="inlineStr">
        <is>
          <t>Opportunity cost of tied-up capital = $0</t>
        </is>
      </c>
      <c r="C39" s="74" t="inlineStr">
        <is>
          <t>↑ expensive/near-new cars (Tesla, RAV4 Prime, 3-rows). Drives the near-new sweet-spot skew.</t>
        </is>
      </c>
      <c r="D39" s="74" t="inlineStr"/>
    </row>
    <row r="40">
      <c r="A40" s="73" t="inlineStr">
        <is>
          <t>I-5</t>
        </is>
      </c>
      <c r="B40" s="74" t="inlineStr">
        <is>
          <t>Repair hassle/downtime/towing/rental/missed-work = $0</t>
        </is>
      </c>
      <c r="C40" s="74" t="inlineStr">
        <is>
          <t>↑ cheap-but-flaky (Fiat, old Ranger, high-mile survivors).</t>
        </is>
      </c>
      <c r="D40" s="74" t="inlineStr"/>
    </row>
    <row r="41">
      <c r="A41" s="73" t="inlineStr">
        <is>
          <t>I-6</t>
        </is>
      </c>
      <c r="B41" s="74" t="inlineStr">
        <is>
          <t>Safety not in the number</t>
        </is>
      </c>
      <c r="C41" s="74" t="inlineStr">
        <is>
          <t>↑ old cheap vehicles (2002 Ranger, Fiat 500). Real omission for a family.</t>
        </is>
      </c>
      <c r="D41" s="74" t="inlineStr"/>
    </row>
    <row r="42">
      <c r="A42" s="73" t="inlineStr">
        <is>
          <t>I-7</t>
        </is>
      </c>
      <c r="B42" s="74" t="inlineStr">
        <is>
          <t>Capability/fit/utility = $0 (AWD, tow, 3rd row, cargo)</t>
        </is>
      </c>
      <c r="C42" s="74" t="inlineStr">
        <is>
          <t>↑ small cheap cars; ↓ trucks/SUVs/vans. Corolla &amp; Sienna "tie" that shouldn't.</t>
        </is>
      </c>
      <c r="D42" s="74" t="inlineStr"/>
    </row>
    <row r="43">
      <c r="A43" s="73" t="inlineStr">
        <is>
          <t>I-8</t>
        </is>
      </c>
      <c r="B43" s="74" t="inlineStr">
        <is>
          <t>Calendar age doesn't drive repair frequency (only mileage)</t>
        </is>
      </c>
      <c r="C43" s="74" t="inlineStr">
        <is>
          <t>↑ old low-mile vehicles (old Ranger, garage queens). Calc age surcharge only half-fixes it.</t>
        </is>
      </c>
      <c r="D43" s="74" t="inlineStr"/>
    </row>
    <row r="44">
      <c r="A44" s="73" t="inlineStr">
        <is>
          <t>I-9</t>
        </is>
      </c>
      <c r="B44" s="74" t="inlineStr">
        <is>
          <t>Fuel price constant for 15–18 yrs (0% escalation)</t>
        </is>
      </c>
      <c r="C44" s="74" t="inlineStr">
        <is>
          <t>Under-penalizes thirsty vehicles (trucks, V8 SUVs, 996) if gas rises.</t>
        </is>
      </c>
      <c r="D44" s="74" t="inlineStr"/>
    </row>
    <row r="45">
      <c r="A45" s="73" t="inlineStr">
        <is>
          <t>I-10</t>
        </is>
      </c>
      <c r="B45" s="74" t="inlineStr">
        <is>
          <t>Electricity price constant too</t>
        </is>
      </c>
      <c r="C45" s="74" t="inlineStr">
        <is>
          <t>Mirror of I-9 for EVs.</t>
        </is>
      </c>
      <c r="D45" s="74" t="inlineStr"/>
    </row>
    <row r="46">
      <c r="A46" s="73" t="inlineStr">
        <is>
          <t>I-11</t>
        </is>
      </c>
      <c r="B46" s="74" t="inlineStr">
        <is>
          <t>Insurance = national-ish per-model × 0.80, drops to liability &lt;$6k</t>
        </is>
      </c>
      <c r="C46" s="74" t="inlineStr">
        <is>
          <t>Crude; slightly ↓ cheap cars in the window they're worth &gt;$6k.</t>
        </is>
      </c>
      <c r="D46" s="74" t="inlineStr"/>
    </row>
    <row r="47">
      <c r="A47" s="73" t="inlineStr">
        <is>
          <t>I-12</t>
        </is>
      </c>
      <c r="B47" s="74" t="inlineStr">
        <is>
          <t>No sales/use tax, doc fees, or financing interest (assumes cash)</t>
        </is>
      </c>
      <c r="C47" s="74" t="inlineStr">
        <is>
          <t>↑ expensive cars (bigger absolute tax/interest not charged).</t>
        </is>
      </c>
      <c r="D47" s="74" t="inlineStr"/>
    </row>
    <row r="48">
      <c r="A48" s="73" t="inlineStr">
        <is>
          <t>I-13</t>
        </is>
      </c>
      <c r="B48" s="74" t="inlineStr">
        <is>
          <t>No early total-loss (crash/theft) probability</t>
        </is>
      </c>
      <c r="C48" s="74" t="inlineStr">
        <is>
          <t>↑ expensive cars ($40k &amp; $4k both $0 loss risk).</t>
        </is>
      </c>
      <c r="D48" s="74" t="inlineStr"/>
    </row>
    <row r="49">
      <c r="A49" s="73" t="inlineStr">
        <is>
          <t>I-14</t>
        </is>
      </c>
      <c r="B49" s="74" t="inlineStr">
        <is>
          <t>Catastrophic repairs impossible below 120,000 mi</t>
        </is>
      </c>
      <c r="C49" s="74" t="inlineStr">
        <is>
          <t>↑ low-mileage buys; year-multiplier now partly covers known-bad early failures.</t>
        </is>
      </c>
      <c r="D49" s="74" t="inlineStr"/>
    </row>
    <row r="50">
      <c r="A50" s="73" t="inlineStr">
        <is>
          <t>I-15</t>
        </is>
      </c>
      <c r="B50" s="74" t="inlineStr">
        <is>
          <t>Battery = one event; gradual capacity/range loss has no $ cost</t>
        </is>
      </c>
      <c r="C50" s="74" t="inlineStr">
        <is>
          <t>↑ EVs, especially Leaf (still "full value" at 70% battery).</t>
        </is>
      </c>
      <c r="D50" s="74" t="inlineStr"/>
    </row>
    <row r="51">
      <c r="A51" s="73" t="inlineStr">
        <is>
          <t>I-16</t>
        </is>
      </c>
      <c r="B51" s="74" t="inlineStr">
        <is>
          <t>×1.30 EOL bonus assumes perfect maintenance &amp; no crash</t>
        </is>
      </c>
      <c r="C51" s="74" t="inlineStr">
        <is>
          <t>↑ high-EOL durable brands (compounds their edge).</t>
        </is>
      </c>
      <c r="D51" s="74" t="inlineStr"/>
    </row>
    <row r="52">
      <c r="A52" s="73" t="inlineStr">
        <is>
          <t>I-17</t>
        </is>
      </c>
      <c r="B52" s="74" t="inlineStr">
        <is>
          <t>Depreciation linear per mile; no mid-life sale</t>
        </is>
      </c>
      <c r="C52" s="74" t="inlineStr">
        <is>
          <t>↑ near-new (sweet-spot skew).</t>
        </is>
      </c>
      <c r="D52" s="74" t="inlineStr"/>
    </row>
    <row r="53">
      <c r="A53" s="73" t="inlineStr">
        <is>
          <t>I-18</t>
        </is>
      </c>
      <c r="B53" s="74" t="inlineStr">
        <is>
          <t>You buy at the model-chosen optimal odometer, avg condition, market price</t>
        </is>
      </c>
      <c r="C53" s="74" t="inlineStr">
        <is>
          <t>Neutral; not your real listing.</t>
        </is>
      </c>
      <c r="D53" s="74" t="inlineStr"/>
    </row>
    <row r="54">
      <c r="A54" s="73" t="inlineStr">
        <is>
          <t>I-19</t>
        </is>
      </c>
      <c r="B54" s="74" t="inlineStr">
        <is>
          <t>Tires flat by class (no style/load/performance rubber)</t>
        </is>
      </c>
      <c r="C54" s="74" t="inlineStr">
        <is>
          <t>↑ performance cars (996 $0.05/mi may be low).</t>
        </is>
      </c>
      <c r="D54" s="74" t="inlineStr"/>
    </row>
    <row r="55">
      <c r="A55" s="73" t="inlineStr">
        <is>
          <t>I-20</t>
        </is>
      </c>
      <c r="B55" s="74" t="inlineStr">
        <is>
          <t>Hybrids carry ONE $2,500 battery risk, nothing else hybrid-specific</t>
        </is>
      </c>
      <c r="C55" s="74" t="inlineStr">
        <is>
          <t>Slightly ↑ hybrids.</t>
        </is>
      </c>
      <c r="D55" s="74" t="inlineStr"/>
    </row>
    <row r="56">
      <c r="A56" s="73" t="inlineStr">
        <is>
          <t>I-21</t>
        </is>
      </c>
      <c r="B56" s="74" t="inlineStr">
        <is>
          <t>Year multiplier = uniform ×1.4/1.15/0.95 on ALL repairs</t>
        </is>
      </c>
      <c r="C56" s="74" t="inlineStr">
        <is>
          <t>Crude but directionally right.</t>
        </is>
      </c>
      <c r="D56" s="74" t="inlineStr"/>
    </row>
    <row r="57">
      <c r="A57" s="73" t="inlineStr">
        <is>
          <t>I-22</t>
        </is>
      </c>
      <c r="B57" s="74" t="inlineStr">
        <is>
          <t>All EVs charge at home cheaply (85% home/15% DCFC)</t>
        </is>
      </c>
      <c r="C57" s="74" t="inlineStr">
        <is>
          <t>↑ EVs for anyone without a home plug.</t>
        </is>
      </c>
      <c r="D57" s="74" t="inlineStr"/>
    </row>
    <row r="58">
      <c r="A58" s="6" t="inlineStr">
        <is>
          <t>PART 3 — STATUS: what v2 fixed, and what is still open</t>
        </is>
      </c>
    </row>
    <row r="59">
      <c r="A59" s="68" t="inlineStr">
        <is>
          <t>Item</t>
        </is>
      </c>
      <c r="B59" s="68" t="inlineStr">
        <is>
          <t>Status</t>
        </is>
      </c>
      <c r="C59" s="68" t="inlineStr">
        <is>
          <t>Detail</t>
        </is>
      </c>
      <c r="D59" s="68" t="inlineStr"/>
    </row>
    <row r="60">
      <c r="A60" s="73" t="inlineStr">
        <is>
          <t>Resale = scrap (I-3)</t>
        </is>
      </c>
      <c r="B60" s="74" t="inlineStr">
        <is>
          <t>FIXED v2</t>
        </is>
      </c>
      <c r="C60" s="74" t="inlineStr">
        <is>
          <t>now the real high-mileage market value (price curve at EOL), not $500 scrap</t>
        </is>
      </c>
      <c r="D60" s="74" t="inlineStr"/>
    </row>
    <row r="61">
      <c r="A61" s="73" t="inlineStr">
        <is>
          <t>EOL ceilings / ×1.30 (item 4)</t>
        </is>
      </c>
      <c r="B61" s="74" t="inlineStr">
        <is>
          <t>REVISED v2</t>
        </is>
      </c>
      <c r="C61" s="74" t="inlineStr">
        <is>
          <t>per-model maintained EOL from iSeeCars 2024 longevity study + high-mileage owner-reported data (CarComplaints, model forums) — see revision log below</t>
        </is>
      </c>
      <c r="D61" s="74" t="inlineStr"/>
    </row>
    <row r="62">
      <c r="A62" s="73" t="inlineStr">
        <is>
          <t>Opportunity cost of capital (I-4)</t>
        </is>
      </c>
      <c r="B62" s="74" t="inlineStr">
        <is>
          <t>ADDED v2a, REMOVED v2b</t>
        </is>
      </c>
      <c r="C62" s="74" t="inlineStr">
        <is>
          <t>Was +5%/yr on book value — but that DOUBLE-COUNTED: discounting the resale already prices the capital carry. Removed in v2b. Capital cost is still correctly captured via 5% discounting of the future resale.</t>
        </is>
      </c>
      <c r="D62" s="74" t="inlineStr"/>
    </row>
    <row r="63">
      <c r="A63" s="73" t="inlineStr">
        <is>
          <t>Calendar-age repairs (I-8)</t>
        </is>
      </c>
      <c r="B63" s="74" t="inlineStr">
        <is>
          <t>PARTIAL — not truly fixed</t>
        </is>
      </c>
      <c r="C63" s="74" t="inlineStr">
        <is>
          <t>The 2%/yr-past-8-yrs escalator keys off age = odometer÷13,000, i.e. still mileage-derived. A garage-kept 2008/90k is treated as ~7 yrs old, not ~18. Real calendar age is NOT yet a state variable. The Ranger case is still under-aged.</t>
        </is>
      </c>
      <c r="D63" s="74" t="inlineStr"/>
    </row>
    <row r="64">
      <c r="A64" s="73" t="inlineStr">
        <is>
          <t>Purchase tax + total-loss (I-12/I-13)</t>
        </is>
      </c>
      <c r="B64" s="74" t="inlineStr">
        <is>
          <t>FIXED v2</t>
        </is>
      </c>
      <c r="C64" s="74" t="inlineStr">
        <is>
          <t>+7% use-tax on purchase + 1.5%/yr crash/theft on book value</t>
        </is>
      </c>
      <c r="D64" s="74" t="inlineStr"/>
    </row>
    <row r="65">
      <c r="A65" s="73" t="inlineStr">
        <is>
          <t>Repair hassle + per-make cost (I-5)</t>
        </is>
      </c>
      <c r="B65" s="74" t="inlineStr">
        <is>
          <t>FIXED v2</t>
        </is>
      </c>
      <c r="C65" s="74" t="inlineStr">
        <is>
          <t>$600 per unplanned major repair + per-make repair multiplier (Volvo 1.40 … Toyota 1.0)</t>
        </is>
      </c>
      <c r="D65" s="74" t="inlineStr"/>
    </row>
    <row r="66">
      <c r="A66" s="73" t="inlineStr">
        <is>
          <t>Fuel escalation (I-9)</t>
        </is>
      </c>
      <c r="B66" s="74" t="inlineStr">
        <is>
          <t>TOGGLE</t>
        </is>
      </c>
      <c r="C66" s="74" t="inlineStr">
        <is>
          <t>scenario only (FUEL_ESC config); OFF by default — real gas ~flat historically</t>
        </is>
      </c>
      <c r="D66" s="74" t="inlineStr"/>
    </row>
    <row r="67">
      <c r="A67" s="73" t="inlineStr">
        <is>
          <t>Safety &amp; capability (I-6/I-7)</t>
        </is>
      </c>
      <c r="B67" s="74" t="inlineStr">
        <is>
          <t>OPEN</t>
        </is>
      </c>
      <c r="C67" s="74" t="inlineStr">
        <is>
          <t>belong as side columns, not folded into $/mi (capability partly in Beyond tab seats/cargo)</t>
        </is>
      </c>
      <c r="D67" s="74" t="inlineStr"/>
    </row>
    <row r="68">
      <c r="A68" s="73" t="inlineStr">
        <is>
          <t>×1.30 multiplier still in code</t>
        </is>
      </c>
      <c r="B68" s="74" t="inlineStr">
        <is>
          <t>OPEN</t>
        </is>
      </c>
      <c r="C68" s="74" t="inlineStr">
        <is>
          <t>backed out numerically in v2; cleaner long-term = store maintained EOL directly &amp; delete the multiplier</t>
        </is>
      </c>
      <c r="D68" s="74" t="inlineStr"/>
    </row>
    <row r="69">
      <c r="A69" s="73" t="inlineStr">
        <is>
          <t>Reliability decisiveness</t>
        </is>
      </c>
      <c r="B69" s="74" t="inlineStr">
        <is>
          <t>CHOICE</t>
        </is>
      </c>
      <c r="C69" s="74" t="inlineStr">
        <is>
          <t>Fiat 500 still ~#3 on P50 MEDIAN; rank on P75 if reliability should be decisive (one line)</t>
        </is>
      </c>
      <c r="D69" s="74" t="inlineStr"/>
    </row>
    <row r="70">
      <c r="A70" s="73" t="inlineStr">
        <is>
          <t>Insurance generic (I-11)</t>
        </is>
      </c>
      <c r="B70" s="74" t="inlineStr">
        <is>
          <t>OPEN</t>
        </is>
      </c>
      <c r="C70" s="74" t="inlineStr">
        <is>
          <t>replace with your real USAA quotes when available</t>
        </is>
      </c>
      <c r="D70" s="74" t="inlineStr"/>
    </row>
    <row r="71">
      <c r="A71" s="6" t="inlineStr">
        <is>
          <t>PART 4 — REVISION LOG (v1 → v2). Keep old numbers; never delete.</t>
        </is>
      </c>
    </row>
    <row r="72">
      <c r="A72" s="68" t="inlineStr">
        <is>
          <t>Change</t>
        </is>
      </c>
      <c r="B72" s="68" t="inlineStr">
        <is>
          <t>v1 (old)</t>
        </is>
      </c>
      <c r="C72" s="68" t="inlineStr">
        <is>
          <t>v2 (new)</t>
        </is>
      </c>
      <c r="D72" s="68" t="inlineStr"/>
    </row>
    <row r="73">
      <c r="A73" s="73" t="inlineStr">
        <is>
          <t>Resale</t>
        </is>
      </c>
      <c r="B73" s="74" t="inlineStr">
        <is>
          <t>flat scrap $400–800</t>
        </is>
      </c>
      <c r="C73" s="74" t="inlineStr">
        <is>
          <t>real high-mileage market value = price curve at EOL odometer (floored at scrap)</t>
        </is>
      </c>
      <c r="D73" s="74" t="inlineStr"/>
    </row>
    <row r="74">
      <c r="A74" s="73" t="inlineStr">
        <is>
          <t>Opportunity cost of capital</t>
        </is>
      </c>
      <c r="B74" s="74" t="inlineStr">
        <is>
          <t>$0</t>
        </is>
      </c>
      <c r="C74" s="74" t="inlineStr">
        <is>
          <t>+5%/yr on tied-up book value</t>
        </is>
      </c>
      <c r="D74" s="74" t="inlineStr"/>
    </row>
    <row r="75">
      <c r="A75" s="73" t="inlineStr">
        <is>
          <t>Calendar-age repairs</t>
        </is>
      </c>
      <c r="B75" s="74" t="inlineStr">
        <is>
          <t>mileage only</t>
        </is>
      </c>
      <c r="C75" s="74" t="inlineStr">
        <is>
          <t>× (1 + 2%/yr past 8 yrs old)</t>
        </is>
      </c>
      <c r="D75" s="74" t="inlineStr"/>
    </row>
    <row r="76">
      <c r="A76" s="73" t="inlineStr">
        <is>
          <t>Purchase tax</t>
        </is>
      </c>
      <c r="B76" s="74" t="inlineStr">
        <is>
          <t>$0</t>
        </is>
      </c>
      <c r="C76" s="74" t="inlineStr">
        <is>
          <t>+7% use-tax on purchase</t>
        </is>
      </c>
      <c r="D76" s="74" t="inlineStr"/>
    </row>
    <row r="77">
      <c r="A77" s="73" t="inlineStr">
        <is>
          <t>Total-loss risk</t>
        </is>
      </c>
      <c r="B77" s="74" t="inlineStr">
        <is>
          <t>$0</t>
        </is>
      </c>
      <c r="C77" s="74" t="inlineStr">
        <is>
          <t>+1.5%/yr crash/theft on book value</t>
        </is>
      </c>
      <c r="D77" s="74" t="inlineStr"/>
    </row>
    <row r="78">
      <c r="A78" s="73" t="inlineStr">
        <is>
          <t>Repair hassle</t>
        </is>
      </c>
      <c r="B78" s="74" t="inlineStr">
        <is>
          <t>$0</t>
        </is>
      </c>
      <c r="C78" s="74" t="inlineStr">
        <is>
          <t>+$600 per unplanned major repair</t>
        </is>
      </c>
      <c r="D78" s="74" t="inlineStr"/>
    </row>
    <row r="79">
      <c r="A79" s="73" t="inlineStr">
        <is>
          <t>Repair cost by make</t>
        </is>
      </c>
      <c r="B79" s="74" t="inlineStr">
        <is>
          <t>flat by tier</t>
        </is>
      </c>
      <c r="C79" s="74" t="inlineStr">
        <is>
          <t>×1.15–1.40 (Volvo 1.40, Mini 1.35, VW/Tesla/Porsche/Fiat 1.15–1.30)</t>
        </is>
      </c>
      <c r="D79" s="74" t="inlineStr"/>
    </row>
    <row r="80">
      <c r="A80" s="73" t="inlineStr">
        <is>
          <t>Fuel escalation</t>
        </is>
      </c>
      <c r="B80" s="74" t="inlineStr">
        <is>
          <t>0%/yr (kept default)</t>
        </is>
      </c>
      <c r="C80" s="74" t="inlineStr">
        <is>
          <t>scenario: gas +2%/yr, elec +0.5%/yr (FUEL_ESC toggle, OFF default)</t>
        </is>
      </c>
      <c r="D80" s="74" t="inlineStr"/>
    </row>
    <row r="81">
      <c r="A81" s="73" t="inlineStr">
        <is>
          <t>EOL ceilings</t>
        </is>
      </c>
      <c r="B81" s="74" t="inlineStr">
        <is>
          <t>base × uniform 1.30 (Tacoma 318k, Sequoia 331k, Fiat 195k; CR-V 221k under-rated)</t>
        </is>
      </c>
      <c r="C81" s="74" t="inlineStr">
        <is>
          <t>revised per-model maintained (Tacoma 290, Sequoia 300, Fiat 160; CR-V 240, RAV4 240) — iSeeCars + owner-reported longevity</t>
        </is>
      </c>
      <c r="D81" s="74" t="inlineStr"/>
    </row>
    <row r="82">
      <c r="A82" s="73" t="inlineStr">
        <is>
          <t>Comparison kept</t>
        </is>
      </c>
      <c r="B82" s="74" t="inlineStr">
        <is>
          <t>—</t>
        </is>
      </c>
      <c r="C82" s="74" t="inlineStr">
        <is>
          <t>"v1 $/mi (old model)" column on the Ranking tab</t>
        </is>
      </c>
      <c r="D82" s="74" t="inlineStr"/>
    </row>
    <row r="83">
      <c r="A83" s="6" t="inlineStr">
        <is>
          <t>PART 4b — v2b AUDIT FIXES (adversarial review, Jul 2026). Old v2a behaviour kept in the "why it was wrong" column.</t>
        </is>
      </c>
    </row>
    <row r="84">
      <c r="A84" s="68" t="inlineStr">
        <is>
          <t>Fix</t>
        </is>
      </c>
      <c r="B84" s="68" t="inlineStr">
        <is>
          <t>Was (v2a)</t>
        </is>
      </c>
      <c r="C84" s="68" t="inlineStr">
        <is>
          <t>Now (v2b) — and why</t>
        </is>
      </c>
      <c r="D84" s="68" t="inlineStr"/>
    </row>
    <row r="85">
      <c r="A85" s="73" t="inlineStr">
        <is>
          <t>Capital double-count</t>
        </is>
      </c>
      <c r="B85" s="74" t="inlineStr">
        <is>
          <t>+5%/yr opportunity cost on book value, ON TOP of discounted depreciation</t>
        </is>
      </c>
      <c r="C85" s="74" t="inlineStr">
        <is>
          <t>REMOVED. Proof: buy $10k / sell $10k after 10yr @5% → depreciation term = 10000−10000/1.05^10 = $3,861, which EXACTLY equals Σ 5%·val/1.05^t = $3,861. Discounting already prices the capital carry; charging both counts it twice.</t>
        </is>
      </c>
      <c r="D85" s="74" t="inlineStr"/>
    </row>
    <row r="86">
      <c r="A86" s="73" t="inlineStr">
        <is>
          <t>End-of-life resale</t>
        </is>
      </c>
      <c r="B86" s="74" t="inlineStr">
        <is>
          <t>np.interp CLAMPED to the last price-table point → a 244k-mi Sienna Hybrid valued at $23k, a 250k Corolla at $6.5k</t>
        </is>
      </c>
      <c r="C86" s="74" t="inlineStr">
        <is>
          <t>EXTRAPOLATE the last segment down past the table, floored at scrap. Fixes ~61 of 68 vehicles; also re-derives every pinned buy point + heat map, which read this.</t>
        </is>
      </c>
      <c r="D86" s="74" t="inlineStr"/>
    </row>
    <row r="87">
      <c r="A87" s="73" t="inlineStr">
        <is>
          <t>Energy discount factor</t>
        </is>
      </c>
      <c r="B87" s="74" t="inlineStr">
        <is>
          <t>dfac summed floor(T) yearly terms ÷ ceil(T) → dropped the final partial year, understating energy 6–14% (worst for short-lived cheap cars)</t>
        </is>
      </c>
      <c r="C87" s="74" t="inlineStr">
        <is>
          <t>Length-weighted average discount factor; each partial year weighted by its own length.</t>
        </is>
      </c>
      <c r="D87" s="74" t="inlineStr"/>
    </row>
    <row r="88">
      <c r="A88" s="73" t="inlineStr">
        <is>
          <t>Liability floor</t>
        </is>
      </c>
      <c r="B88" s="74" t="inlineStr">
        <is>
          <t>$650/yr, silently ×0.80 = $520 effective (a state-minimum figure). Created a huge cliff at the $6k full-cov threshold that handed cheap cars (Fiat) a fake 5¢/mi edge</t>
        </is>
      </c>
      <c r="C88" s="74" t="inlineStr">
        <is>
          <t>$1,176/yr (Insurify 2026 national liability-only avg) ×0.80 = ~$941. The cliff now correctly reflects dropping only collision+comp.</t>
        </is>
      </c>
      <c r="D88" s="74" t="inlineStr"/>
    </row>
    <row r="89">
      <c r="A89" s="73" t="inlineStr">
        <is>
          <t>Total-loss overcharge</t>
        </is>
      </c>
      <c r="B89" s="74" t="inlineStr">
        <is>
          <t>1.5%/yr on FULL book value even while full coverage is carried — but the insurer pays ACV, so your real exposure is the deductible</t>
        </is>
      </c>
      <c r="C89" s="74" t="inlineStr">
        <is>
          <t>v2b: charge 1.5%/yr × deductible ($750) while worth &gt;$6k (full cov); × full book value below (liability-only, you eat the loss). Was ~20× too high on expensive cars.</t>
        </is>
      </c>
      <c r="D89" s="74" t="inlineStr"/>
    </row>
    <row r="90">
      <c r="A90" s="73" t="inlineStr">
        <is>
          <t>Fiat bad-year not forced</t>
        </is>
      </c>
      <c r="B90" s="74" t="inlineStr">
        <is>
          <t>odometer÷13k clock labelled the $6-9k Fiat 500 a ~2019 (a "good" year) → ×0.95 discount</t>
        </is>
      </c>
      <c r="C90" s="74" t="inlineStr">
        <is>
          <t>v2b: Fiat 500 forced to ×1.40. Its affordable examples ARE the 2012-2015 landmine years (its own verify link returns those); no 500 model year is reliable.</t>
        </is>
      </c>
      <c r="D90" s="74" t="inlineStr"/>
    </row>
    <row r="91">
      <c r="A91" s="73" t="inlineStr">
        <is>
          <t>RANKING IMPACT (v2a → v2b final)</t>
        </is>
      </c>
      <c r="B91" s="74" t="inlineStr">
        <is>
          <t>Bolt 1 · Volt 2 · Fiat 3 · Leaf 4 · Prius Prime 5 · Mazda3 6 · Prius 7 · Corolla 8 · Camry Hyb 9</t>
        </is>
      </c>
      <c r="C91" s="74" t="inlineStr">
        <is>
          <t>Bolt 1 · Volt 2 · Prius 3 · Prius Prime 4 · Camry Hyb 5 · Corolla 6 · Leaf 7 · Civic 8 · Elantra 9 · Accord 10 · Mazda3 11 (−5) · RAV4 Hyb 12 · … FIAT 500 → 18 (−15) · Sienna Hyb 31 · Tacoma 36 · 4Runner 50</t>
        </is>
      </c>
      <c r="D91" s="74" t="inlineStr"/>
    </row>
    <row r="92">
      <c r="A92" s="73" t="inlineStr">
        <is>
          <t>STILL OPEN after v2b</t>
        </is>
      </c>
      <c r="B92" s="74" t="inlineStr"/>
      <c r="C92" s="74" t="inlineStr">
        <is>
          <t>MPY=13,000 is user-confirmed, not odometer-measured (biggest single lever). Reliability ranks on P50 median, not P75. Total-loss still does not truncate life on a loss. EOL dispersion σ=0.12 is uniform across makes. Calendar age (I-8) still keyed to mileage. Home-charging assumed for EVs.</t>
        </is>
      </c>
      <c r="D92" s="74" t="inlineStr"/>
    </row>
    <row r="93">
      <c r="A93" s="6" t="inlineStr">
        <is>
          <t>PART 4c — CONSTANTS PREVIOUSLY DOCUMENTED NOWHERE (now disclosed; several are judgement calls, not sourced pulls)</t>
        </is>
      </c>
    </row>
    <row r="94">
      <c r="A94" s="68" t="inlineStr">
        <is>
          <t>Constant / choice</t>
        </is>
      </c>
      <c r="B94" s="68" t="inlineStr">
        <is>
          <t>Value</t>
        </is>
      </c>
      <c r="C94" s="68" t="inlineStr">
        <is>
          <t>Note</t>
        </is>
      </c>
      <c r="D94" s="68" t="inlineStr"/>
    </row>
    <row r="95">
      <c r="A95" s="73" t="inlineStr">
        <is>
          <t>Monte-Carlo seed</t>
        </is>
      </c>
      <c r="B95" s="74" t="inlineStr">
        <is>
          <t>rng=default_rng(42)</t>
        </is>
      </c>
      <c r="C95" s="74" t="inlineStr">
        <is>
          <t>P50/P75/P90 are one fixed-seed realisation, stable to ~±0.004</t>
        </is>
      </c>
      <c r="D95" s="74" t="inlineStr"/>
    </row>
    <row r="96">
      <c r="A96" s="73" t="inlineStr">
        <is>
          <t>End-of-life dispersion</t>
        </is>
      </c>
      <c r="B96" s="74" t="inlineStr">
        <is>
          <t>lognormal σ=0.12</t>
        </is>
      </c>
      <c r="C96" s="74" t="inlineStr">
        <is>
          <t>SAME for every vehicle — reliability tier drives repair RATE, not EOL spread. So P90 cannot express "this Fiat gets junked early".</t>
        </is>
      </c>
      <c r="D96" s="74" t="inlineStr"/>
    </row>
    <row r="97">
      <c r="A97" s="73" t="inlineStr">
        <is>
          <t>Major-repair cost spread</t>
        </is>
      </c>
      <c r="B97" s="74" t="inlineStr">
        <is>
          <t>lognormal σ=0.5</t>
        </is>
      </c>
      <c r="C97" s="74" t="inlineStr">
        <is>
          <t>per event, past 120k</t>
        </is>
      </c>
      <c r="D97" s="74" t="inlineStr"/>
    </row>
    <row r="98">
      <c r="A98" s="73" t="inlineStr">
        <is>
          <t>Insurance noise</t>
        </is>
      </c>
      <c r="B98" s="74" t="inlineStr">
        <is>
          <t>normal(1, 0.08)</t>
        </is>
      </c>
      <c r="C98" s="74" t="inlineStr">
        <is>
          <t>per year</t>
        </is>
      </c>
      <c r="D98" s="74" t="inlineStr"/>
    </row>
    <row r="99">
      <c r="A99" s="73" t="inlineStr">
        <is>
          <t>Battery cost spread</t>
        </is>
      </c>
      <c r="B99" s="74" t="inlineStr">
        <is>
          <t>lognormal σ=0.40 / 0.40 / 0.35</t>
        </is>
      </c>
      <c r="C99" s="74" t="inlineStr">
        <is>
          <t>hybrid / PHEV / EV</t>
        </is>
      </c>
      <c r="D99" s="74" t="inlineStr"/>
    </row>
    <row r="100">
      <c r="A100" s="73" t="inlineStr">
        <is>
          <t>Energy variance</t>
        </is>
      </c>
      <c r="B100" s="74" t="inlineStr">
        <is>
          <t>NONE</t>
        </is>
      </c>
      <c r="C100" s="74" t="inlineStr">
        <is>
          <t>energy computed outside the Monte Carlo — gas-price/mpg risk contributes 0 to P90</t>
        </is>
      </c>
      <c r="D100" s="74" t="inlineStr"/>
    </row>
    <row r="101">
      <c r="A101" s="73" t="inlineStr">
        <is>
          <t>Buy-odo optimiser caps</t>
        </is>
      </c>
      <c r="B101" s="74" t="inlineStr">
        <is>
          <t>min(1.3·EOL−40k, 160,000, 0.65·EOL)</t>
        </is>
      </c>
      <c r="C101" s="74" t="inlineStr">
        <is>
          <t>hard 160k cap; the 0.65 is 50% of maintained EOL, not "35% of empirical life"</t>
        </is>
      </c>
      <c r="D101" s="74" t="inlineStr"/>
    </row>
    <row r="102">
      <c r="A102" s="73" t="inlineStr">
        <is>
          <t>Per-make repair mult</t>
        </is>
      </c>
      <c r="B102" s="74" t="inlineStr">
        <is>
          <t>Volvo 1.40 · Mini 1.35 · Porsche 1.30 · VW/Tesla 1.25 · Fiat 1.15 · dom 1.05</t>
        </is>
      </c>
      <c r="C102" s="74" t="inlineStr">
        <is>
          <t>judgement estimates, not a sourced table</t>
        </is>
      </c>
      <c r="D102" s="74" t="inlineStr"/>
    </row>
    <row r="103">
      <c r="A103" s="73" t="inlineStr">
        <is>
          <t>Reliability tiers</t>
        </is>
      </c>
      <c r="B103" s="74" t="inlineStr">
        <is>
          <t>prob {.05,.10,.14,.20} · median {$3.2k,$3.6k,$3.9k,$6k}</t>
        </is>
      </c>
      <c r="C103" s="74" t="inlineStr">
        <is>
          <t>judgement calibration</t>
        </is>
      </c>
      <c r="D103" s="74" t="inlineStr"/>
    </row>
    <row r="104">
      <c r="A104" s="73" t="inlineStr">
        <is>
          <t>Any-Car Calculator</t>
        </is>
      </c>
      <c r="B104" s="74" t="inlineStr">
        <is>
          <t>separate simpler cost model</t>
        </is>
      </c>
      <c r="C104" s="74" t="inlineStr">
        <is>
          <t>RUNBASE {.045,.065,.085,.32}; omits total-loss/capital/tax/hassle/battery/discounting — a quick estimator, not the full engine</t>
        </is>
      </c>
      <c r="D104" s="74" t="inlineStr"/>
    </row>
    <row r="105">
      <c r="A105" s="73" t="inlineStr">
        <is>
          <t>Maintenance-curve sharing</t>
        </is>
      </c>
      <c r="B105" s="74" t="inlineStr">
        <is>
          <t>42 of 70 cars share a curve</t>
        </is>
      </c>
      <c r="C105" s="74" t="inlineStr">
        <is>
          <t>e.g. Elantra=Sorento, Highlander=Sequoia, CX-90=Suburban. Simplification.</t>
        </is>
      </c>
      <c r="D105" s="74" t="inlineStr"/>
    </row>
    <row r="106">
      <c r="A106" s="6" t="inlineStr">
        <is>
          <t>PART 5 — PER-VEHICLE INPUTS (EOL shown as v1 → v2 maintained ceiling)</t>
        </is>
      </c>
    </row>
    <row r="107">
      <c r="A107" s="68" t="inlineStr">
        <is>
          <t>Vehicle</t>
        </is>
      </c>
      <c r="B107" s="68" t="inlineStr">
        <is>
          <t>Maintained EOL (k mi): v1 → v2</t>
        </is>
      </c>
      <c r="C107" s="68" t="inlineStr">
        <is>
          <t>MPG (or kWh/100)</t>
        </is>
      </c>
      <c r="D107" s="68" t="inlineStr">
        <is>
          <t>tier · insurance $/yr · years</t>
        </is>
      </c>
    </row>
    <row r="108">
      <c r="A108" s="73" t="inlineStr">
        <is>
          <t>Toyota Sequoia</t>
        </is>
      </c>
      <c r="B108" s="74" t="inlineStr">
        <is>
          <t>332k → 300k</t>
        </is>
      </c>
      <c r="C108" s="74" t="inlineStr">
        <is>
          <t>15 mpg</t>
        </is>
      </c>
      <c r="D108" s="74" t="inlineStr">
        <is>
          <t>low · $1,960 · 2008-2026</t>
        </is>
      </c>
    </row>
    <row r="109">
      <c r="A109" s="73" t="inlineStr">
        <is>
          <t>Toyota Tacoma</t>
        </is>
      </c>
      <c r="B109" s="74" t="inlineStr">
        <is>
          <t>318k → 290k</t>
        </is>
      </c>
      <c r="C109" s="74" t="inlineStr">
        <is>
          <t>20 mpg</t>
        </is>
      </c>
      <c r="D109" s="74" t="inlineStr">
        <is>
          <t>low · $1,800 · 2005-2026</t>
        </is>
      </c>
    </row>
    <row r="110">
      <c r="A110" s="73" t="inlineStr">
        <is>
          <t>Toyota 4Runner</t>
        </is>
      </c>
      <c r="B110" s="74" t="inlineStr">
        <is>
          <t>318k → 290k</t>
        </is>
      </c>
      <c r="C110" s="74" t="inlineStr">
        <is>
          <t>17 mpg</t>
        </is>
      </c>
      <c r="D110" s="74" t="inlineStr">
        <is>
          <t>low · $1,800 · 2010-2026</t>
        </is>
      </c>
    </row>
    <row r="111">
      <c r="A111" s="73" t="inlineStr">
        <is>
          <t>Toyota Camry</t>
        </is>
      </c>
      <c r="B111" s="74" t="inlineStr">
        <is>
          <t>260k → 255k</t>
        </is>
      </c>
      <c r="C111" s="74" t="inlineStr">
        <is>
          <t>30 mpg</t>
        </is>
      </c>
      <c r="D111" s="74" t="inlineStr">
        <is>
          <t>low · $1,840 · 2009-2026</t>
        </is>
      </c>
    </row>
    <row r="112">
      <c r="A112" s="73" t="inlineStr">
        <is>
          <t>Toyota Corolla</t>
        </is>
      </c>
      <c r="B112" s="74" t="inlineStr">
        <is>
          <t>254k → 250k</t>
        </is>
      </c>
      <c r="C112" s="74" t="inlineStr">
        <is>
          <t>31 mpg</t>
        </is>
      </c>
      <c r="D112" s="74" t="inlineStr">
        <is>
          <t>low · $1,920 · 2009-2026</t>
        </is>
      </c>
    </row>
    <row r="113">
      <c r="A113" s="73" t="inlineStr">
        <is>
          <t>Toyota Prius (hybrid)</t>
        </is>
      </c>
      <c r="B113" s="74" t="inlineStr">
        <is>
          <t>266k → 250k</t>
        </is>
      </c>
      <c r="C113" s="74" t="inlineStr">
        <is>
          <t>50 mpg</t>
        </is>
      </c>
      <c r="D113" s="74" t="inlineStr">
        <is>
          <t>low · $1,800 · 2010-2026</t>
        </is>
      </c>
    </row>
    <row r="114">
      <c r="A114" s="73" t="inlineStr">
        <is>
          <t>Toyota Camry Hybrid</t>
        </is>
      </c>
      <c r="B114" s="74" t="inlineStr">
        <is>
          <t>260k → 250k</t>
        </is>
      </c>
      <c r="C114" s="74" t="inlineStr">
        <is>
          <t>42 mpg</t>
        </is>
      </c>
      <c r="D114" s="74" t="inlineStr">
        <is>
          <t>low · $1,920 · 2009-2026</t>
        </is>
      </c>
    </row>
    <row r="115">
      <c r="A115" s="73" t="inlineStr">
        <is>
          <t>Toyota RAV4 Hybrid</t>
        </is>
      </c>
      <c r="B115" s="74" t="inlineStr">
        <is>
          <t>228k → 244k</t>
        </is>
      </c>
      <c r="C115" s="74" t="inlineStr">
        <is>
          <t>40 mpg</t>
        </is>
      </c>
      <c r="D115" s="74" t="inlineStr">
        <is>
          <t>low · $1,800 · 2016-2026</t>
        </is>
      </c>
    </row>
    <row r="116">
      <c r="A116" s="73" t="inlineStr">
        <is>
          <t>Toyota Highlander</t>
        </is>
      </c>
      <c r="B116" s="74" t="inlineStr">
        <is>
          <t>266k → 244k</t>
        </is>
      </c>
      <c r="C116" s="74" t="inlineStr">
        <is>
          <t>23 mpg</t>
        </is>
      </c>
      <c r="D116" s="74" t="inlineStr">
        <is>
          <t>low · $1,760 · 2008-2026</t>
        </is>
      </c>
    </row>
    <row r="117">
      <c r="A117" s="73" t="inlineStr">
        <is>
          <t>Toyota Highlander Hybrid</t>
        </is>
      </c>
      <c r="B117" s="74" t="inlineStr">
        <is>
          <t>266k → 244k</t>
        </is>
      </c>
      <c r="C117" s="74" t="inlineStr">
        <is>
          <t>35 mpg</t>
        </is>
      </c>
      <c r="D117" s="74" t="inlineStr">
        <is>
          <t>low · $1,840 · 2008-2026</t>
        </is>
      </c>
    </row>
    <row r="118">
      <c r="A118" s="73" t="inlineStr">
        <is>
          <t>Toyota Sienna (V6)</t>
        </is>
      </c>
      <c r="B118" s="74" t="inlineStr">
        <is>
          <t>266k → 244k</t>
        </is>
      </c>
      <c r="C118" s="74" t="inlineStr">
        <is>
          <t>19 mpg</t>
        </is>
      </c>
      <c r="D118" s="74" t="inlineStr">
        <is>
          <t>low · $1,720 · 2011-2020</t>
        </is>
      </c>
    </row>
    <row r="119">
      <c r="A119" s="73" t="inlineStr">
        <is>
          <t>Toyota Sienna Hybrid</t>
        </is>
      </c>
      <c r="B119" s="74" t="inlineStr">
        <is>
          <t>260k → 244k</t>
        </is>
      </c>
      <c r="C119" s="74" t="inlineStr">
        <is>
          <t>36 mpg</t>
        </is>
      </c>
      <c r="D119" s="74" t="inlineStr">
        <is>
          <t>low · $1,840 · 2021-2026</t>
        </is>
      </c>
    </row>
    <row r="120">
      <c r="A120" s="73" t="inlineStr">
        <is>
          <t>Chevy Suburban</t>
        </is>
      </c>
      <c r="B120" s="74" t="inlineStr">
        <is>
          <t>280k → 244k</t>
        </is>
      </c>
      <c r="C120" s="74" t="inlineStr">
        <is>
          <t>16 mpg</t>
        </is>
      </c>
      <c r="D120" s="74" t="inlineStr">
        <is>
          <t>mid · $1,920 · 2015-2026</t>
        </is>
      </c>
    </row>
    <row r="121">
      <c r="A121" s="73" t="inlineStr">
        <is>
          <t>Honda Accord</t>
        </is>
      </c>
      <c r="B121" s="74" t="inlineStr">
        <is>
          <t>247k → 240k</t>
        </is>
      </c>
      <c r="C121" s="74" t="inlineStr">
        <is>
          <t>31 mpg</t>
        </is>
      </c>
      <c r="D121" s="74" t="inlineStr">
        <is>
          <t>low · $1,840 · 2009-2026</t>
        </is>
      </c>
    </row>
    <row r="122">
      <c r="A122" s="73" t="inlineStr">
        <is>
          <t>Toyota RAV4</t>
        </is>
      </c>
      <c r="B122" s="74" t="inlineStr">
        <is>
          <t>222k → 240k</t>
        </is>
      </c>
      <c r="C122" s="74" t="inlineStr">
        <is>
          <t>28 mpg</t>
        </is>
      </c>
      <c r="D122" s="74" t="inlineStr">
        <is>
          <t>low · $1,720 · 2013-2026</t>
        </is>
      </c>
    </row>
    <row r="123">
      <c r="A123" s="73" t="inlineStr">
        <is>
          <t>Honda CR-V</t>
        </is>
      </c>
      <c r="B123" s="74" t="inlineStr">
        <is>
          <t>221k → 240k</t>
        </is>
      </c>
      <c r="C123" s="74" t="inlineStr">
        <is>
          <t>28 mpg</t>
        </is>
      </c>
      <c r="D123" s="74" t="inlineStr">
        <is>
          <t>low · $1,680 · 2012-2026</t>
        </is>
      </c>
    </row>
    <row r="124">
      <c r="A124" s="73" t="inlineStr">
        <is>
          <t>Chevy Tahoe</t>
        </is>
      </c>
      <c r="B124" s="74" t="inlineStr">
        <is>
          <t>273k → 240k</t>
        </is>
      </c>
      <c r="C124" s="74" t="inlineStr">
        <is>
          <t>16 mpg</t>
        </is>
      </c>
      <c r="D124" s="74" t="inlineStr">
        <is>
          <t>mid · $1,880 · 2015-2026</t>
        </is>
      </c>
    </row>
    <row r="125">
      <c r="A125" s="73" t="inlineStr">
        <is>
          <t>Honda Civic</t>
        </is>
      </c>
      <c r="B125" s="74" t="inlineStr">
        <is>
          <t>234k → 235k</t>
        </is>
      </c>
      <c r="C125" s="74" t="inlineStr">
        <is>
          <t>32 mpg</t>
        </is>
      </c>
      <c r="D125" s="74" t="inlineStr">
        <is>
          <t>low · $1,840 · 2009-2026</t>
        </is>
      </c>
    </row>
    <row r="126">
      <c r="A126" s="73" t="inlineStr">
        <is>
          <t>Toyota RAV4 Prime</t>
        </is>
      </c>
      <c r="B126" s="74" t="inlineStr">
        <is>
          <t>228k → 235k</t>
        </is>
      </c>
      <c r="C126" s="74" t="inlineStr">
        <is>
          <t>38mpg+36kWh</t>
        </is>
      </c>
      <c r="D126" s="74" t="inlineStr">
        <is>
          <t>low · $1,760 · 2021-2026</t>
        </is>
      </c>
    </row>
    <row r="127">
      <c r="A127" s="73" t="inlineStr">
        <is>
          <t>Toyota Prius Prime</t>
        </is>
      </c>
      <c r="B127" s="74" t="inlineStr">
        <is>
          <t>247k → 235k</t>
        </is>
      </c>
      <c r="C127" s="74" t="inlineStr">
        <is>
          <t>54mpg+25kWh</t>
        </is>
      </c>
      <c r="D127" s="74" t="inlineStr">
        <is>
          <t>low · $1,920 · 2017-2026</t>
        </is>
      </c>
    </row>
    <row r="128">
      <c r="A128" s="73" t="inlineStr">
        <is>
          <t>Tesla Model 3</t>
        </is>
      </c>
      <c r="B128" s="74" t="inlineStr">
        <is>
          <t>228k → 230k</t>
        </is>
      </c>
      <c r="C128" s="74" t="inlineStr">
        <is>
          <t>24 kWh/100</t>
        </is>
      </c>
      <c r="D128" s="74" t="inlineStr">
        <is>
          <t>mid · $2,480 · 2018-2026</t>
        </is>
      </c>
    </row>
    <row r="129">
      <c r="A129" s="73" t="inlineStr">
        <is>
          <t>Honda Pilot</t>
        </is>
      </c>
      <c r="B129" s="74" t="inlineStr">
        <is>
          <t>247k → 225k</t>
        </is>
      </c>
      <c r="C129" s="74" t="inlineStr">
        <is>
          <t>20 mpg</t>
        </is>
      </c>
      <c r="D129" s="74" t="inlineStr">
        <is>
          <t>low · $1,680 · 2009-2026</t>
        </is>
      </c>
    </row>
    <row r="130">
      <c r="A130" s="73" t="inlineStr">
        <is>
          <t>Honda Odyssey</t>
        </is>
      </c>
      <c r="B130" s="74" t="inlineStr">
        <is>
          <t>240k → 225k</t>
        </is>
      </c>
      <c r="C130" s="74" t="inlineStr">
        <is>
          <t>22 mpg</t>
        </is>
      </c>
      <c r="D130" s="74" t="inlineStr">
        <is>
          <t>mid · $1,680 · 2011-2026</t>
        </is>
      </c>
    </row>
    <row r="131">
      <c r="A131" s="73" t="inlineStr">
        <is>
          <t>Porsche 996 Turbo</t>
        </is>
      </c>
      <c r="B131" s="74" t="inlineStr">
        <is>
          <t>221k</t>
        </is>
      </c>
      <c r="C131" s="74" t="inlineStr">
        <is>
          <t>17 mpg</t>
        </is>
      </c>
      <c r="D131" s="74" t="inlineStr">
        <is>
          <t>sport · $1,920 · 2001-2005</t>
        </is>
      </c>
    </row>
    <row r="132">
      <c r="A132" s="73" t="inlineStr">
        <is>
          <t>Mazda CX-5</t>
        </is>
      </c>
      <c r="B132" s="74" t="inlineStr">
        <is>
          <t>218k → 214k</t>
        </is>
      </c>
      <c r="C132" s="74" t="inlineStr">
        <is>
          <t>26 mpg</t>
        </is>
      </c>
      <c r="D132" s="74" t="inlineStr">
        <is>
          <t>low · $1,680 · 2013-2026</t>
        </is>
      </c>
    </row>
    <row r="133">
      <c r="A133" s="73" t="inlineStr">
        <is>
          <t>Ford Ranger (old compact)</t>
        </is>
      </c>
      <c r="B133" s="74" t="inlineStr">
        <is>
          <t>260k → 214k</t>
        </is>
      </c>
      <c r="C133" s="74" t="inlineStr">
        <is>
          <t>21 mpg</t>
        </is>
      </c>
      <c r="D133" s="74" t="inlineStr">
        <is>
          <t>mid · $1,832 · 2001-2011</t>
        </is>
      </c>
    </row>
    <row r="134">
      <c r="A134" s="73" t="inlineStr">
        <is>
          <t>Mazda3 (SkyActiv)</t>
        </is>
      </c>
      <c r="B134" s="74" t="inlineStr">
        <is>
          <t>218k → 211k</t>
        </is>
      </c>
      <c r="C134" s="74" t="inlineStr">
        <is>
          <t>30 mpg</t>
        </is>
      </c>
      <c r="D134" s="74" t="inlineStr">
        <is>
          <t>low · $1,720 · 2010-2026</t>
        </is>
      </c>
    </row>
    <row r="135">
      <c r="A135" s="73" t="inlineStr">
        <is>
          <t>Subaru Outback</t>
        </is>
      </c>
      <c r="B135" s="74" t="inlineStr">
        <is>
          <t>212k → 211k</t>
        </is>
      </c>
      <c r="C135" s="74" t="inlineStr">
        <is>
          <t>29 mpg</t>
        </is>
      </c>
      <c r="D135" s="74" t="inlineStr">
        <is>
          <t>mid · $1,640 · 2010-2026</t>
        </is>
      </c>
    </row>
    <row r="136">
      <c r="A136" s="73" t="inlineStr">
        <is>
          <t>Porsche 996 Carrera</t>
        </is>
      </c>
      <c r="B136" s="74" t="inlineStr">
        <is>
          <t>208k</t>
        </is>
      </c>
      <c r="C136" s="74" t="inlineStr">
        <is>
          <t>19 mpg</t>
        </is>
      </c>
      <c r="D136" s="74" t="inlineStr">
        <is>
          <t>sport · $1,760 · 1999-2004</t>
        </is>
      </c>
    </row>
    <row r="137">
      <c r="A137" s="73" t="inlineStr">
        <is>
          <t>Chevy Colorado</t>
        </is>
      </c>
      <c r="B137" s="74" t="inlineStr">
        <is>
          <t>209k → 205k</t>
        </is>
      </c>
      <c r="C137" s="74" t="inlineStr">
        <is>
          <t>19 mpg</t>
        </is>
      </c>
      <c r="D137" s="74" t="inlineStr">
        <is>
          <t>mid · $1,720 · 2015-2026</t>
        </is>
      </c>
    </row>
    <row r="138">
      <c r="A138" s="73" t="inlineStr">
        <is>
          <t>Kia Niro (hybrid)</t>
        </is>
      </c>
      <c r="B138" s="74" t="inlineStr">
        <is>
          <t>214k → 205k</t>
        </is>
      </c>
      <c r="C138" s="74" t="inlineStr">
        <is>
          <t>49 mpg</t>
        </is>
      </c>
      <c r="D138" s="74" t="inlineStr">
        <is>
          <t>mid · $1,680 · 2017-2026</t>
        </is>
      </c>
    </row>
    <row r="139">
      <c r="A139" s="73" t="inlineStr">
        <is>
          <t>Subaru Forester</t>
        </is>
      </c>
      <c r="B139" s="74" t="inlineStr">
        <is>
          <t>185k → 200k</t>
        </is>
      </c>
      <c r="C139" s="74" t="inlineStr">
        <is>
          <t>29 mpg</t>
        </is>
      </c>
      <c r="D139" s="74" t="inlineStr">
        <is>
          <t>mid · $1,680 · 2011-2026</t>
        </is>
      </c>
    </row>
    <row r="140">
      <c r="A140" s="73" t="inlineStr">
        <is>
          <t>Ford Ranger (2019+ midsize)</t>
        </is>
      </c>
      <c r="B140" s="74" t="inlineStr">
        <is>
          <t>208k → 200k</t>
        </is>
      </c>
      <c r="C140" s="74" t="inlineStr">
        <is>
          <t>21 mpg</t>
        </is>
      </c>
      <c r="D140" s="74" t="inlineStr">
        <is>
          <t>mid · $1,832 · 2019-2026</t>
        </is>
      </c>
    </row>
    <row r="141">
      <c r="A141" s="73" t="inlineStr">
        <is>
          <t>Chevy Bolt EV</t>
        </is>
      </c>
      <c r="B141" s="74" t="inlineStr">
        <is>
          <t>195k → 200k</t>
        </is>
      </c>
      <c r="C141" s="74" t="inlineStr">
        <is>
          <t>28 kWh/100</t>
        </is>
      </c>
      <c r="D141" s="74" t="inlineStr">
        <is>
          <t>low · $1,660 · 2017-2023</t>
        </is>
      </c>
    </row>
    <row r="142">
      <c r="A142" s="73" t="inlineStr">
        <is>
          <t>Chevy Volt</t>
        </is>
      </c>
      <c r="B142" s="74" t="inlineStr">
        <is>
          <t>208k → 200k</t>
        </is>
      </c>
      <c r="C142" s="74" t="inlineStr">
        <is>
          <t>42mpg+31kWh</t>
        </is>
      </c>
      <c r="D142" s="74" t="inlineStr">
        <is>
          <t>mid · $1,440 · 2016-2019</t>
        </is>
      </c>
    </row>
    <row r="143">
      <c r="A143" s="73" t="inlineStr">
        <is>
          <t>Kia Telluride</t>
        </is>
      </c>
      <c r="B143" s="74" t="inlineStr">
        <is>
          <t>228k → 200k</t>
        </is>
      </c>
      <c r="C143" s="74" t="inlineStr">
        <is>
          <t>21 mpg</t>
        </is>
      </c>
      <c r="D143" s="74" t="inlineStr">
        <is>
          <t>mid · $1,720 · 2020-2026</t>
        </is>
      </c>
    </row>
    <row r="144">
      <c r="A144" s="73" t="inlineStr">
        <is>
          <t>Hyundai Palisade</t>
        </is>
      </c>
      <c r="B144" s="74" t="inlineStr">
        <is>
          <t>228k → 200k</t>
        </is>
      </c>
      <c r="C144" s="74" t="inlineStr">
        <is>
          <t>21 mpg</t>
        </is>
      </c>
      <c r="D144" s="74" t="inlineStr">
        <is>
          <t>mid · $1,720 · 2020-2026</t>
        </is>
      </c>
    </row>
    <row r="145">
      <c r="A145" s="73" t="inlineStr">
        <is>
          <t>Mazda CX-90</t>
        </is>
      </c>
      <c r="B145" s="74" t="inlineStr">
        <is>
          <t>208k → 200k</t>
        </is>
      </c>
      <c r="C145" s="74" t="inlineStr">
        <is>
          <t>24 mpg</t>
        </is>
      </c>
      <c r="D145" s="74" t="inlineStr">
        <is>
          <t>mid · $1,720 · 2024-2026</t>
        </is>
      </c>
    </row>
    <row r="146">
      <c r="A146" s="73" t="inlineStr">
        <is>
          <t>Volvo XC60</t>
        </is>
      </c>
      <c r="B146" s="74" t="inlineStr">
        <is>
          <t>240k → 200k</t>
        </is>
      </c>
      <c r="C146" s="74" t="inlineStr">
        <is>
          <t>23 mpg</t>
        </is>
      </c>
      <c r="D146" s="74" t="inlineStr">
        <is>
          <t>mid · $1,880 · 2018-2026</t>
        </is>
      </c>
    </row>
    <row r="147">
      <c r="A147" s="73" t="inlineStr">
        <is>
          <t>Volvo V90 Cross Country</t>
        </is>
      </c>
      <c r="B147" s="74" t="inlineStr">
        <is>
          <t>247k → 200k</t>
        </is>
      </c>
      <c r="C147" s="74" t="inlineStr">
        <is>
          <t>25 mpg</t>
        </is>
      </c>
      <c r="D147" s="74" t="inlineStr">
        <is>
          <t>mid · $1,880 · 2017-2026</t>
        </is>
      </c>
    </row>
    <row r="148">
      <c r="A148" s="73" t="inlineStr">
        <is>
          <t>Kia Sorento</t>
        </is>
      </c>
      <c r="B148" s="74" t="inlineStr">
        <is>
          <t>228k → 200k</t>
        </is>
      </c>
      <c r="C148" s="74" t="inlineStr">
        <is>
          <t>24 mpg</t>
        </is>
      </c>
      <c r="D148" s="74" t="inlineStr">
        <is>
          <t>mid · $1,720 · 2011-2026</t>
        </is>
      </c>
    </row>
    <row r="149">
      <c r="A149" s="73" t="inlineStr">
        <is>
          <t>Hyundai Elantra</t>
        </is>
      </c>
      <c r="B149" s="74" t="inlineStr">
        <is>
          <t>214k → 200k</t>
        </is>
      </c>
      <c r="C149" s="74" t="inlineStr">
        <is>
          <t>35 mpg</t>
        </is>
      </c>
      <c r="D149" s="74" t="inlineStr">
        <is>
          <t>mid · $1,640 · 2011-2026</t>
        </is>
      </c>
    </row>
    <row r="150">
      <c r="A150" s="73" t="inlineStr">
        <is>
          <t>VW ID.4 (AWD avail)</t>
        </is>
      </c>
      <c r="B150" s="74" t="inlineStr">
        <is>
          <t>195k</t>
        </is>
      </c>
      <c r="C150" s="74" t="inlineStr">
        <is>
          <t>34 kWh/100</t>
        </is>
      </c>
      <c r="D150" s="74" t="inlineStr">
        <is>
          <t>high · $1,920 · 2021-2026</t>
        </is>
      </c>
    </row>
    <row r="151">
      <c r="A151" s="73" t="inlineStr">
        <is>
          <t>Volvo XC90</t>
        </is>
      </c>
      <c r="B151" s="74" t="inlineStr">
        <is>
          <t>240k → 195k</t>
        </is>
      </c>
      <c r="C151" s="74" t="inlineStr">
        <is>
          <t>22 mpg</t>
        </is>
      </c>
      <c r="D151" s="74" t="inlineStr">
        <is>
          <t>high · $1,920 · 2016-2026</t>
        </is>
      </c>
    </row>
    <row r="152">
      <c r="A152" s="73" t="inlineStr">
        <is>
          <t>VW GTI</t>
        </is>
      </c>
      <c r="B152" s="74" t="inlineStr">
        <is>
          <t>228k → 195k</t>
        </is>
      </c>
      <c r="C152" s="74" t="inlineStr">
        <is>
          <t>27 mpg</t>
        </is>
      </c>
      <c r="D152" s="74" t="inlineStr">
        <is>
          <t>mid · $1,720 · 2015-2026</t>
        </is>
      </c>
    </row>
    <row r="153">
      <c r="A153" s="73" t="inlineStr">
        <is>
          <t>Hyundai Sonata</t>
        </is>
      </c>
      <c r="B153" s="74" t="inlineStr">
        <is>
          <t>214k → 195k</t>
        </is>
      </c>
      <c r="C153" s="74" t="inlineStr">
        <is>
          <t>32 mpg</t>
        </is>
      </c>
      <c r="D153" s="74" t="inlineStr">
        <is>
          <t>mid · $1,720 · 2011-2026</t>
        </is>
      </c>
    </row>
    <row r="154">
      <c r="A154" s="73" t="inlineStr">
        <is>
          <t>VW Atlas</t>
        </is>
      </c>
      <c r="B154" s="74" t="inlineStr">
        <is>
          <t>234k → 190k</t>
        </is>
      </c>
      <c r="C154" s="74" t="inlineStr">
        <is>
          <t>21 mpg</t>
        </is>
      </c>
      <c r="D154" s="74" t="inlineStr">
        <is>
          <t>mid · $1,760 · 2018-2026</t>
        </is>
      </c>
    </row>
    <row r="155">
      <c r="A155" s="73" t="inlineStr">
        <is>
          <t>VW Passat</t>
        </is>
      </c>
      <c r="B155" s="74" t="inlineStr">
        <is>
          <t>214k → 190k</t>
        </is>
      </c>
      <c r="C155" s="74" t="inlineStr">
        <is>
          <t>28 mpg</t>
        </is>
      </c>
      <c r="D155" s="74" t="inlineStr">
        <is>
          <t>mid · $1,720 · 2012-2022</t>
        </is>
      </c>
    </row>
    <row r="156">
      <c r="A156" s="73" t="inlineStr">
        <is>
          <t>Kia K4</t>
        </is>
      </c>
      <c r="B156" s="74" t="inlineStr">
        <is>
          <t>240k → 190k</t>
        </is>
      </c>
      <c r="C156" s="74" t="inlineStr">
        <is>
          <t>34 mpg</t>
        </is>
      </c>
      <c r="D156" s="74" t="inlineStr">
        <is>
          <t>mid · $1,640 · 2025-2026</t>
        </is>
      </c>
    </row>
    <row r="157">
      <c r="A157" s="73" t="inlineStr">
        <is>
          <t>Hyundai Santa Fe</t>
        </is>
      </c>
      <c r="B157" s="74" t="inlineStr">
        <is>
          <t>214k → 190k</t>
        </is>
      </c>
      <c r="C157" s="74" t="inlineStr">
        <is>
          <t>25 mpg</t>
        </is>
      </c>
      <c r="D157" s="74" t="inlineStr">
        <is>
          <t>mid · $1,720 · 2013-2026</t>
        </is>
      </c>
    </row>
    <row r="158">
      <c r="A158" s="73" t="inlineStr">
        <is>
          <t>Subaru Ascent</t>
        </is>
      </c>
      <c r="B158" s="74" t="inlineStr">
        <is>
          <t>202k → 185k</t>
        </is>
      </c>
      <c r="C158" s="74" t="inlineStr">
        <is>
          <t>22 mpg</t>
        </is>
      </c>
      <c r="D158" s="74" t="inlineStr">
        <is>
          <t>mid · $1,680 · 2019-2026</t>
        </is>
      </c>
    </row>
    <row r="159">
      <c r="A159" s="73" t="inlineStr">
        <is>
          <t>Chevy Traverse</t>
        </is>
      </c>
      <c r="B159" s="74" t="inlineStr">
        <is>
          <t>202k → 185k</t>
        </is>
      </c>
      <c r="C159" s="74" t="inlineStr">
        <is>
          <t>21 mpg</t>
        </is>
      </c>
      <c r="D159" s="74" t="inlineStr">
        <is>
          <t>high · $1,680 · 2018-2026</t>
        </is>
      </c>
    </row>
    <row r="160">
      <c r="A160" s="73" t="inlineStr">
        <is>
          <t>Ford Explorer</t>
        </is>
      </c>
      <c r="B160" s="74" t="inlineStr">
        <is>
          <t>202k → 185k</t>
        </is>
      </c>
      <c r="C160" s="74" t="inlineStr">
        <is>
          <t>21 mpg</t>
        </is>
      </c>
      <c r="D160" s="74" t="inlineStr">
        <is>
          <t>high · $1,720 · 2011-2026</t>
        </is>
      </c>
    </row>
    <row r="161">
      <c r="A161" s="73" t="inlineStr">
        <is>
          <t>Jeep Grand Cherokee L</t>
        </is>
      </c>
      <c r="B161" s="74" t="inlineStr">
        <is>
          <t>195k → 185k</t>
        </is>
      </c>
      <c r="C161" s="74" t="inlineStr">
        <is>
          <t>19 mpg</t>
        </is>
      </c>
      <c r="D161" s="74" t="inlineStr">
        <is>
          <t>high · $1,760 · 2021-2026</t>
        </is>
      </c>
    </row>
    <row r="162">
      <c r="A162" s="73" t="inlineStr">
        <is>
          <t>VW Tiguan</t>
        </is>
      </c>
      <c r="B162" s="74" t="inlineStr">
        <is>
          <t>202k → 185k</t>
        </is>
      </c>
      <c r="C162" s="74" t="inlineStr">
        <is>
          <t>24 mpg</t>
        </is>
      </c>
      <c r="D162" s="74" t="inlineStr">
        <is>
          <t>mid · $1,680 · 2018-2026</t>
        </is>
      </c>
    </row>
    <row r="163">
      <c r="A163" s="73" t="inlineStr">
        <is>
          <t>Kia Soul</t>
        </is>
      </c>
      <c r="B163" s="74" t="inlineStr">
        <is>
          <t>202k → 185k</t>
        </is>
      </c>
      <c r="C163" s="74" t="inlineStr">
        <is>
          <t>29 mpg</t>
        </is>
      </c>
      <c r="D163" s="74" t="inlineStr">
        <is>
          <t>mid · $1,640 · 2010-2026</t>
        </is>
      </c>
    </row>
    <row r="164">
      <c r="A164" s="73" t="inlineStr">
        <is>
          <t>Kia Sportage</t>
        </is>
      </c>
      <c r="B164" s="74" t="inlineStr">
        <is>
          <t>202k → 185k</t>
        </is>
      </c>
      <c r="C164" s="74" t="inlineStr">
        <is>
          <t>26 mpg</t>
        </is>
      </c>
      <c r="D164" s="74" t="inlineStr">
        <is>
          <t>mid · $1,680 · 2011-2026</t>
        </is>
      </c>
    </row>
    <row r="165">
      <c r="A165" s="73" t="inlineStr">
        <is>
          <t>Buick Enclave</t>
        </is>
      </c>
      <c r="B165" s="74" t="inlineStr">
        <is>
          <t>208k → 185k</t>
        </is>
      </c>
      <c r="C165" s="74" t="inlineStr">
        <is>
          <t>21 mpg</t>
        </is>
      </c>
      <c r="D165" s="74" t="inlineStr">
        <is>
          <t>mid · $1,800 · 2008-2026</t>
        </is>
      </c>
    </row>
    <row r="166">
      <c r="A166" s="73" t="inlineStr">
        <is>
          <t>Hyundai Kona</t>
        </is>
      </c>
      <c r="B166" s="74" t="inlineStr">
        <is>
          <t>202k → 185k</t>
        </is>
      </c>
      <c r="C166" s="74" t="inlineStr">
        <is>
          <t>30 mpg</t>
        </is>
      </c>
      <c r="D166" s="74" t="inlineStr">
        <is>
          <t>mid · $1,640 · 2018-2026</t>
        </is>
      </c>
    </row>
    <row r="167">
      <c r="A167" s="73" t="inlineStr">
        <is>
          <t>Chevy Equinox</t>
        </is>
      </c>
      <c r="B167" s="74" t="inlineStr">
        <is>
          <t>176k</t>
        </is>
      </c>
      <c r="C167" s="74" t="inlineStr">
        <is>
          <t>27 mpg</t>
        </is>
      </c>
      <c r="D167" s="74" t="inlineStr">
        <is>
          <t>high · $1,720 · 2010-2026</t>
        </is>
      </c>
    </row>
    <row r="168">
      <c r="A168" s="73" t="inlineStr">
        <is>
          <t>Chrysler Pacifica</t>
        </is>
      </c>
      <c r="B168" s="74" t="inlineStr">
        <is>
          <t>195k → 176k</t>
        </is>
      </c>
      <c r="C168" s="74" t="inlineStr">
        <is>
          <t>22 mpg</t>
        </is>
      </c>
      <c r="D168" s="74" t="inlineStr">
        <is>
          <t>high · $1,680 · 2017-2026</t>
        </is>
      </c>
    </row>
    <row r="169">
      <c r="A169" s="73" t="inlineStr">
        <is>
          <t>Chrysler Pacifica PHEV</t>
        </is>
      </c>
      <c r="B169" s="74" t="inlineStr">
        <is>
          <t>195k → 176k</t>
        </is>
      </c>
      <c r="C169" s="74" t="inlineStr">
        <is>
          <t>30mpg+40kWh</t>
        </is>
      </c>
      <c r="D169" s="74" t="inlineStr">
        <is>
          <t>high · $1,760 · 2017-2026</t>
        </is>
      </c>
    </row>
    <row r="170">
      <c r="A170" s="73" t="inlineStr">
        <is>
          <t>Mini Cooper</t>
        </is>
      </c>
      <c r="B170" s="74" t="inlineStr">
        <is>
          <t>195k → 176k</t>
        </is>
      </c>
      <c r="C170" s="74" t="inlineStr">
        <is>
          <t>30 mpg</t>
        </is>
      </c>
      <c r="D170" s="74" t="inlineStr">
        <is>
          <t>high · $1,720 · 2014-2026</t>
        </is>
      </c>
    </row>
    <row r="171">
      <c r="A171" s="73" t="inlineStr">
        <is>
          <t>Mini Countryman</t>
        </is>
      </c>
      <c r="B171" s="74" t="inlineStr">
        <is>
          <t>208k → 176k</t>
        </is>
      </c>
      <c r="C171" s="74" t="inlineStr">
        <is>
          <t>26 mpg</t>
        </is>
      </c>
      <c r="D171" s="74" t="inlineStr">
        <is>
          <t>high · $1,760 · 2011-2026</t>
        </is>
      </c>
    </row>
    <row r="172">
      <c r="A172" s="73" t="inlineStr">
        <is>
          <t>Buick Encore</t>
        </is>
      </c>
      <c r="B172" s="74" t="inlineStr">
        <is>
          <t>195k → 176k</t>
        </is>
      </c>
      <c r="C172" s="74" t="inlineStr">
        <is>
          <t>28 mpg</t>
        </is>
      </c>
      <c r="D172" s="74" t="inlineStr">
        <is>
          <t>mid · $1,680 · 2013-2026</t>
        </is>
      </c>
    </row>
    <row r="173">
      <c r="A173" s="73" t="inlineStr">
        <is>
          <t>Ford Escape</t>
        </is>
      </c>
      <c r="B173" s="74" t="inlineStr">
        <is>
          <t>183k → 170k</t>
        </is>
      </c>
      <c r="C173" s="74" t="inlineStr">
        <is>
          <t>26 mpg</t>
        </is>
      </c>
      <c r="D173" s="74" t="inlineStr">
        <is>
          <t>high · $1,720 · 2009-2026</t>
        </is>
      </c>
    </row>
    <row r="174">
      <c r="A174" s="73" t="inlineStr">
        <is>
          <t>Hyundai Tucson</t>
        </is>
      </c>
      <c r="B174" s="74" t="inlineStr">
        <is>
          <t>157k → 170k</t>
        </is>
      </c>
      <c r="C174" s="74" t="inlineStr">
        <is>
          <t>25 mpg</t>
        </is>
      </c>
      <c r="D174" s="74" t="inlineStr">
        <is>
          <t>high · $1,680 · 2010-2026</t>
        </is>
      </c>
    </row>
    <row r="175">
      <c r="A175" s="73" t="inlineStr">
        <is>
          <t>Nissan Rogue</t>
        </is>
      </c>
      <c r="B175" s="74" t="inlineStr">
        <is>
          <t>186k → 170k</t>
        </is>
      </c>
      <c r="C175" s="74" t="inlineStr">
        <is>
          <t>29 mpg</t>
        </is>
      </c>
      <c r="D175" s="74" t="inlineStr">
        <is>
          <t>high · $1,664 · 2011-2026</t>
        </is>
      </c>
    </row>
    <row r="176">
      <c r="A176" s="73" t="inlineStr">
        <is>
          <t>Fiat 500</t>
        </is>
      </c>
      <c r="B176" s="74" t="inlineStr">
        <is>
          <t>195k → 160k</t>
        </is>
      </c>
      <c r="C176" s="74" t="inlineStr">
        <is>
          <t>33 mpg</t>
        </is>
      </c>
      <c r="D176" s="74" t="inlineStr">
        <is>
          <t>high · $1,600 · 2012-2019</t>
        </is>
      </c>
    </row>
    <row r="177">
      <c r="A177" s="73" t="inlineStr">
        <is>
          <t>Fiat 500X</t>
        </is>
      </c>
      <c r="B177" s="74" t="inlineStr">
        <is>
          <t>182k → 150k</t>
        </is>
      </c>
      <c r="C177" s="74" t="inlineStr">
        <is>
          <t>26 mpg</t>
        </is>
      </c>
      <c r="D177" s="74" t="inlineStr">
        <is>
          <t>high · $1,640 · 2016-2023</t>
        </is>
      </c>
    </row>
    <row r="178">
      <c r="A178" s="73" t="inlineStr">
        <is>
          <t>Nissan Leaf</t>
        </is>
      </c>
      <c r="B178" s="74" t="inlineStr">
        <is>
          <t>136k → 140k</t>
        </is>
      </c>
      <c r="C178" s="74" t="inlineStr">
        <is>
          <t>30 kWh/100</t>
        </is>
      </c>
      <c r="D178" s="74" t="inlineStr">
        <is>
          <t>mid · $1,760 · 2018-2026</t>
        </is>
      </c>
    </row>
  </sheetData>
  <mergeCells count="11">
    <mergeCell ref="A1:D1"/>
    <mergeCell ref="A5:D5"/>
    <mergeCell ref="A27:D27"/>
    <mergeCell ref="A106:D106"/>
    <mergeCell ref="A58:D58"/>
    <mergeCell ref="A34:D34"/>
    <mergeCell ref="A83:D83"/>
    <mergeCell ref="A20:D20"/>
    <mergeCell ref="A3:D3"/>
    <mergeCell ref="A71:D71"/>
    <mergeCell ref="A93:D9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72"/>
  <sheetViews>
    <sheetView workbookViewId="0">
      <selection activeCell="A1" sqref="A1"/>
    </sheetView>
  </sheetViews>
  <sheetFormatPr baseColWidth="8" defaultRowHeight="15"/>
  <cols>
    <col width="22" customWidth="1" min="1" max="1"/>
    <col width="10" customWidth="1" min="2" max="2"/>
    <col width="20" customWidth="1" min="3" max="3"/>
    <col width="7" customWidth="1" min="4" max="4"/>
    <col width="6" customWidth="1" min="5" max="5"/>
    <col width="7" customWidth="1" min="6" max="6"/>
    <col width="7" customWidth="1" min="7" max="7"/>
    <col width="9" customWidth="1" min="8" max="8"/>
    <col width="7" customWidth="1" min="9" max="9"/>
    <col width="9" customWidth="1" min="10" max="10"/>
    <col width="8" customWidth="1" min="11" max="11"/>
    <col width="7" customWidth="1" min="12" max="12"/>
    <col width="3" customWidth="1" min="13" max="13"/>
    <col width="10" customWidth="1" min="14" max="14"/>
    <col width="7" customWidth="1" min="15" max="15"/>
  </cols>
  <sheetData>
    <row r="1">
      <c r="A1" s="24" t="inlineStr">
        <is>
          <t>Full</t>
        </is>
      </c>
      <c r="B1" s="24" t="inlineStr">
        <is>
          <t>Make</t>
        </is>
      </c>
      <c r="C1" s="24" t="inlineStr">
        <is>
          <t>Model</t>
        </is>
      </c>
      <c r="D1" s="24" t="inlineStr">
        <is>
          <t>EOL</t>
        </is>
      </c>
      <c r="E1" s="24" t="inlineStr">
        <is>
          <t>MPG</t>
        </is>
      </c>
      <c r="F1" s="24" t="inlineStr">
        <is>
          <t>kWh100</t>
        </is>
      </c>
      <c r="G1" s="24" t="inlineStr">
        <is>
          <t>Run</t>
        </is>
      </c>
      <c r="H1" s="24" t="inlineStr">
        <is>
          <t>InsUSAA</t>
        </is>
      </c>
      <c r="I1" s="24" t="inlineStr">
        <is>
          <t>Tires</t>
        </is>
      </c>
      <c r="J1" s="24" t="inlineStr">
        <is>
          <t>Price</t>
        </is>
      </c>
      <c r="K1" s="24" t="inlineStr">
        <is>
          <t>Scrap</t>
        </is>
      </c>
      <c r="L1" s="24" t="inlineStr">
        <is>
          <t>Total</t>
        </is>
      </c>
      <c r="N1" t="inlineStr">
        <is>
          <t>MAKES</t>
        </is>
      </c>
      <c r="O1" t="inlineStr">
        <is>
          <t>YEARS</t>
        </is>
      </c>
      <c r="P1" s="24" t="inlineStr">
        <is>
          <t>BadYears</t>
        </is>
      </c>
      <c r="Q1" s="24" t="inlineStr">
        <is>
          <t>CautionYears</t>
        </is>
      </c>
      <c r="R1" s="24" t="inlineStr">
        <is>
          <t>GoodYears</t>
        </is>
      </c>
      <c r="T1" s="24" t="inlineStr">
        <is>
          <t>Tier</t>
        </is>
      </c>
      <c r="U1" s="24" t="inlineStr">
        <is>
          <t>P05</t>
        </is>
      </c>
      <c r="V1" s="24" t="inlineStr">
        <is>
          <t>P95</t>
        </is>
      </c>
      <c r="W1" s="24" t="inlineStr">
        <is>
          <t>OppPM</t>
        </is>
      </c>
    </row>
    <row r="2">
      <c r="A2" t="inlineStr">
        <is>
          <t>Buick Enclave</t>
        </is>
      </c>
      <c r="B2" t="inlineStr">
        <is>
          <t>Buick</t>
        </is>
      </c>
      <c r="C2" t="inlineStr">
        <is>
          <t>Enclave</t>
        </is>
      </c>
      <c r="D2" t="n">
        <v>184600</v>
      </c>
      <c r="E2" t="n">
        <v>21</v>
      </c>
      <c r="F2" t="n">
        <v>0</v>
      </c>
      <c r="G2" t="n">
        <v>0.065</v>
      </c>
      <c r="H2" t="n">
        <v>1800</v>
      </c>
      <c r="I2" t="n">
        <v>0.024</v>
      </c>
      <c r="J2" t="n">
        <v>16667</v>
      </c>
      <c r="K2" t="n">
        <v>500</v>
      </c>
      <c r="L2" t="n">
        <v>0.618</v>
      </c>
      <c r="N2" t="inlineStr">
        <is>
          <t>Buick</t>
        </is>
      </c>
      <c r="O2" t="n">
        <v>2026</v>
      </c>
      <c r="P2" t="inlineStr">
        <is>
          <t>2008,2009,2010,2011,2012,2013</t>
        </is>
      </c>
      <c r="Q2" t="inlineStr">
        <is>
          <t>2018</t>
        </is>
      </c>
      <c r="R2" t="inlineStr">
        <is>
          <t>2019,2020,2021</t>
        </is>
      </c>
      <c r="T2" t="n">
        <v>7</v>
      </c>
      <c r="U2" t="n">
        <v>0.553</v>
      </c>
      <c r="V2" t="n">
        <v>0.6840000000000001</v>
      </c>
      <c r="W2" t="n">
        <v>0.112</v>
      </c>
    </row>
    <row r="3">
      <c r="A3" t="inlineStr">
        <is>
          <t>Buick Encore</t>
        </is>
      </c>
      <c r="B3" t="inlineStr">
        <is>
          <t>Buick</t>
        </is>
      </c>
      <c r="C3" t="inlineStr">
        <is>
          <t>Encore</t>
        </is>
      </c>
      <c r="D3" t="n">
        <v>175500</v>
      </c>
      <c r="E3" t="n">
        <v>28</v>
      </c>
      <c r="F3" t="n">
        <v>0</v>
      </c>
      <c r="G3" t="n">
        <v>0.065</v>
      </c>
      <c r="H3" t="n">
        <v>1680</v>
      </c>
      <c r="I3" t="n">
        <v>0.022</v>
      </c>
      <c r="J3" t="n">
        <v>14800</v>
      </c>
      <c r="K3" t="n">
        <v>450</v>
      </c>
      <c r="L3" t="n">
        <v>0.485</v>
      </c>
      <c r="N3" t="inlineStr">
        <is>
          <t>Chevy</t>
        </is>
      </c>
      <c r="O3" t="n">
        <v>2025</v>
      </c>
      <c r="P3" t="inlineStr"/>
      <c r="Q3" t="inlineStr">
        <is>
          <t>2013,2014</t>
        </is>
      </c>
      <c r="R3" t="inlineStr">
        <is>
          <t>2017,2018,2019,2020</t>
        </is>
      </c>
      <c r="T3" t="n">
        <v>4</v>
      </c>
      <c r="U3" t="n">
        <v>0.419</v>
      </c>
      <c r="V3" t="n">
        <v>0.499</v>
      </c>
      <c r="W3" t="n">
        <v>0.109</v>
      </c>
    </row>
    <row r="4">
      <c r="A4" t="inlineStr">
        <is>
          <t>Chevy Bolt EV</t>
        </is>
      </c>
      <c r="B4" t="inlineStr">
        <is>
          <t>Chevy</t>
        </is>
      </c>
      <c r="C4" t="inlineStr">
        <is>
          <t>Bolt EV</t>
        </is>
      </c>
      <c r="D4" t="n">
        <v>200200</v>
      </c>
      <c r="E4" t="n">
        <v>0</v>
      </c>
      <c r="F4" t="n">
        <v>30.2</v>
      </c>
      <c r="G4" t="n">
        <v>0.045</v>
      </c>
      <c r="H4" t="n">
        <v>1660</v>
      </c>
      <c r="I4" t="n">
        <v>0.03</v>
      </c>
      <c r="J4" t="n">
        <v>15643</v>
      </c>
      <c r="K4" t="n">
        <v>600</v>
      </c>
      <c r="L4" t="n">
        <v>0.3546</v>
      </c>
      <c r="N4" t="inlineStr">
        <is>
          <t>Chrysler</t>
        </is>
      </c>
      <c r="O4" t="n">
        <v>2024</v>
      </c>
      <c r="P4" t="inlineStr"/>
      <c r="Q4" t="inlineStr">
        <is>
          <t>2017,2018,2019,2020,2021,2022</t>
        </is>
      </c>
      <c r="R4" t="inlineStr">
        <is>
          <t>2023</t>
        </is>
      </c>
      <c r="T4" t="n">
        <v>1</v>
      </c>
      <c r="U4" t="n">
        <v>0.289</v>
      </c>
      <c r="V4" t="n">
        <v>0.389</v>
      </c>
      <c r="W4" t="n">
        <v>0.125</v>
      </c>
    </row>
    <row r="5">
      <c r="A5" t="inlineStr">
        <is>
          <t>Chevy Colorado</t>
        </is>
      </c>
      <c r="B5" t="inlineStr">
        <is>
          <t>Chevy</t>
        </is>
      </c>
      <c r="C5" t="inlineStr">
        <is>
          <t>Colorado</t>
        </is>
      </c>
      <c r="D5" t="n">
        <v>205400</v>
      </c>
      <c r="E5" t="n">
        <v>19</v>
      </c>
      <c r="F5" t="n">
        <v>0</v>
      </c>
      <c r="G5" t="n">
        <v>0.065</v>
      </c>
      <c r="H5" t="n">
        <v>1720</v>
      </c>
      <c r="I5" t="n">
        <v>0.03</v>
      </c>
      <c r="J5" t="n">
        <v>23500</v>
      </c>
      <c r="K5" t="n">
        <v>800</v>
      </c>
      <c r="L5" t="n">
        <v>0.6316000000000001</v>
      </c>
      <c r="N5" t="inlineStr">
        <is>
          <t>Fiat</t>
        </is>
      </c>
      <c r="O5" t="n">
        <v>2023</v>
      </c>
      <c r="P5" t="inlineStr"/>
      <c r="Q5" t="inlineStr">
        <is>
          <t>2015,2016</t>
        </is>
      </c>
      <c r="R5" t="inlineStr">
        <is>
          <t>2019,2020,2021,2022</t>
        </is>
      </c>
      <c r="T5" t="n">
        <v>6</v>
      </c>
      <c r="U5" t="n">
        <v>0.535</v>
      </c>
      <c r="V5" t="n">
        <v>0.627</v>
      </c>
      <c r="W5" t="n">
        <v>0.183</v>
      </c>
    </row>
    <row r="6">
      <c r="A6" t="inlineStr">
        <is>
          <t>Chevy Equinox</t>
        </is>
      </c>
      <c r="B6" t="inlineStr">
        <is>
          <t>Chevy</t>
        </is>
      </c>
      <c r="C6" t="inlineStr">
        <is>
          <t>Equinox</t>
        </is>
      </c>
      <c r="D6" t="n">
        <v>175500</v>
      </c>
      <c r="E6" t="n">
        <v>27</v>
      </c>
      <c r="F6" t="n">
        <v>0</v>
      </c>
      <c r="G6" t="n">
        <v>0.08500000000000001</v>
      </c>
      <c r="H6" t="n">
        <v>1720</v>
      </c>
      <c r="I6" t="n">
        <v>0.022</v>
      </c>
      <c r="J6" t="n">
        <v>17200</v>
      </c>
      <c r="K6" t="n">
        <v>450</v>
      </c>
      <c r="L6" t="n">
        <v>0.5358000000000001</v>
      </c>
      <c r="N6" t="inlineStr">
        <is>
          <t>Ford</t>
        </is>
      </c>
      <c r="O6" t="n">
        <v>2022</v>
      </c>
      <c r="P6" t="inlineStr">
        <is>
          <t>2010,2011,2012,2013</t>
        </is>
      </c>
      <c r="Q6" t="inlineStr">
        <is>
          <t>2018,2019,2020</t>
        </is>
      </c>
      <c r="R6" t="inlineStr">
        <is>
          <t>2016,2017,2021,2022</t>
        </is>
      </c>
      <c r="T6" t="n">
        <v>5</v>
      </c>
      <c r="U6" t="n">
        <v>0.455</v>
      </c>
      <c r="V6" t="n">
        <v>0.546</v>
      </c>
      <c r="W6" t="n">
        <v>0.125</v>
      </c>
    </row>
    <row r="7">
      <c r="A7" t="inlineStr">
        <is>
          <t>Chevy Suburban</t>
        </is>
      </c>
      <c r="B7" t="inlineStr">
        <is>
          <t>Chevy</t>
        </is>
      </c>
      <c r="C7" t="inlineStr">
        <is>
          <t>Suburban</t>
        </is>
      </c>
      <c r="D7" t="n">
        <v>244400</v>
      </c>
      <c r="E7" t="n">
        <v>16</v>
      </c>
      <c r="F7" t="n">
        <v>0</v>
      </c>
      <c r="G7" t="n">
        <v>0.065</v>
      </c>
      <c r="H7" t="n">
        <v>1920</v>
      </c>
      <c r="I7" t="n">
        <v>0.024</v>
      </c>
      <c r="J7" t="n">
        <v>42375</v>
      </c>
      <c r="K7" t="n">
        <v>500</v>
      </c>
      <c r="L7" t="n">
        <v>0.7543</v>
      </c>
      <c r="N7" t="inlineStr">
        <is>
          <t>Honda</t>
        </is>
      </c>
      <c r="O7" t="n">
        <v>2021</v>
      </c>
      <c r="P7" t="inlineStr"/>
      <c r="Q7" t="inlineStr">
        <is>
          <t>2015,2021</t>
        </is>
      </c>
      <c r="R7" t="inlineStr">
        <is>
          <t>2017,2018,2019,2020,2022</t>
        </is>
      </c>
      <c r="T7" t="n">
        <v>7</v>
      </c>
      <c r="U7" t="n">
        <v>0.589</v>
      </c>
      <c r="V7" t="n">
        <v>0.701</v>
      </c>
      <c r="W7" t="n">
        <v>0.376</v>
      </c>
    </row>
    <row r="8">
      <c r="A8" t="inlineStr">
        <is>
          <t>Chevy Tahoe</t>
        </is>
      </c>
      <c r="B8" t="inlineStr">
        <is>
          <t>Chevy</t>
        </is>
      </c>
      <c r="C8" t="inlineStr">
        <is>
          <t>Tahoe</t>
        </is>
      </c>
      <c r="D8" t="n">
        <v>240500</v>
      </c>
      <c r="E8" t="n">
        <v>16</v>
      </c>
      <c r="F8" t="n">
        <v>0</v>
      </c>
      <c r="G8" t="n">
        <v>0.065</v>
      </c>
      <c r="H8" t="n">
        <v>1880</v>
      </c>
      <c r="I8" t="n">
        <v>0.024</v>
      </c>
      <c r="J8" t="n">
        <v>39375</v>
      </c>
      <c r="K8" t="n">
        <v>500</v>
      </c>
      <c r="L8" t="n">
        <v>0.7411</v>
      </c>
      <c r="N8" t="inlineStr">
        <is>
          <t>Hyundai</t>
        </is>
      </c>
      <c r="O8" t="n">
        <v>2020</v>
      </c>
      <c r="P8" t="inlineStr"/>
      <c r="Q8" t="inlineStr">
        <is>
          <t>2015,2021</t>
        </is>
      </c>
      <c r="R8" t="inlineStr">
        <is>
          <t>2017,2018,2019,2020,2022</t>
        </is>
      </c>
      <c r="T8" t="n">
        <v>7</v>
      </c>
      <c r="U8" t="n">
        <v>0.577</v>
      </c>
      <c r="V8" t="n">
        <v>0.6850000000000001</v>
      </c>
      <c r="W8" t="n">
        <v>0.345</v>
      </c>
    </row>
    <row r="9">
      <c r="A9" t="inlineStr">
        <is>
          <t>Chevy Traverse</t>
        </is>
      </c>
      <c r="B9" t="inlineStr">
        <is>
          <t>Chevy</t>
        </is>
      </c>
      <c r="C9" t="inlineStr">
        <is>
          <t>Traverse</t>
        </is>
      </c>
      <c r="D9" t="n">
        <v>184600</v>
      </c>
      <c r="E9" t="n">
        <v>21</v>
      </c>
      <c r="F9" t="n">
        <v>0</v>
      </c>
      <c r="G9" t="n">
        <v>0.08500000000000001</v>
      </c>
      <c r="H9" t="n">
        <v>1680</v>
      </c>
      <c r="I9" t="n">
        <v>0.024</v>
      </c>
      <c r="J9" t="n">
        <v>20000</v>
      </c>
      <c r="K9" t="n">
        <v>500</v>
      </c>
      <c r="L9" t="n">
        <v>0.6311</v>
      </c>
      <c r="N9" t="inlineStr">
        <is>
          <t>Jeep</t>
        </is>
      </c>
      <c r="O9" t="n">
        <v>2019</v>
      </c>
      <c r="P9" t="inlineStr">
        <is>
          <t>2009,2010,2011,2012,2013,2014,2015</t>
        </is>
      </c>
      <c r="Q9" t="inlineStr">
        <is>
          <t>2018</t>
        </is>
      </c>
      <c r="R9" t="inlineStr">
        <is>
          <t>2019,2020,2021,2022</t>
        </is>
      </c>
      <c r="T9" t="n">
        <v>6</v>
      </c>
      <c r="U9" t="n">
        <v>0.538</v>
      </c>
      <c r="V9" t="n">
        <v>0.659</v>
      </c>
      <c r="W9" t="n">
        <v>0.142</v>
      </c>
    </row>
    <row r="10">
      <c r="A10" t="inlineStr">
        <is>
          <t>Chevy Volt</t>
        </is>
      </c>
      <c r="B10" t="inlineStr">
        <is>
          <t>Chevy</t>
        </is>
      </c>
      <c r="C10" t="inlineStr">
        <is>
          <t>Volt</t>
        </is>
      </c>
      <c r="D10" t="n">
        <v>200200</v>
      </c>
      <c r="E10" t="n">
        <v>210</v>
      </c>
      <c r="F10" t="n">
        <v>26</v>
      </c>
      <c r="G10" t="n">
        <v>0.065</v>
      </c>
      <c r="H10" t="n">
        <v>1440</v>
      </c>
      <c r="I10" t="n">
        <v>0.024</v>
      </c>
      <c r="J10" t="n">
        <v>15143</v>
      </c>
      <c r="K10" t="n">
        <v>600</v>
      </c>
      <c r="L10" t="n">
        <v>0.384</v>
      </c>
      <c r="N10" t="inlineStr">
        <is>
          <t>Kia</t>
        </is>
      </c>
      <c r="O10" t="n">
        <v>2018</v>
      </c>
      <c r="P10" t="inlineStr"/>
      <c r="Q10" t="inlineStr">
        <is>
          <t>2011,2012</t>
        </is>
      </c>
      <c r="R10" t="inlineStr">
        <is>
          <t>2013,2014,2015,2016,2017,2018,2019</t>
        </is>
      </c>
      <c r="T10" t="n">
        <v>1</v>
      </c>
      <c r="U10" t="n">
        <v>0.307</v>
      </c>
      <c r="V10" t="n">
        <v>0.385</v>
      </c>
      <c r="W10" t="n">
        <v>0.118</v>
      </c>
    </row>
    <row r="11">
      <c r="A11" t="inlineStr">
        <is>
          <t>Chrysler Pacifica</t>
        </is>
      </c>
      <c r="B11" t="inlineStr">
        <is>
          <t>Chrysler</t>
        </is>
      </c>
      <c r="C11" t="inlineStr">
        <is>
          <t>Pacifica</t>
        </is>
      </c>
      <c r="D11" t="n">
        <v>175500</v>
      </c>
      <c r="E11" t="n">
        <v>22</v>
      </c>
      <c r="F11" t="n">
        <v>0</v>
      </c>
      <c r="G11" t="n">
        <v>0.08500000000000001</v>
      </c>
      <c r="H11" t="n">
        <v>1680</v>
      </c>
      <c r="I11" t="n">
        <v>0.02</v>
      </c>
      <c r="J11" t="n">
        <v>16333</v>
      </c>
      <c r="K11" t="n">
        <v>500</v>
      </c>
      <c r="L11" t="n">
        <v>0.6026</v>
      </c>
      <c r="N11" t="inlineStr">
        <is>
          <t>Mazda</t>
        </is>
      </c>
      <c r="O11" t="n">
        <v>2017</v>
      </c>
      <c r="P11" t="inlineStr">
        <is>
          <t>2017,2018</t>
        </is>
      </c>
      <c r="Q11" t="inlineStr"/>
      <c r="R11" t="inlineStr">
        <is>
          <t>2019,2020,2022</t>
        </is>
      </c>
      <c r="T11" t="n">
        <v>6</v>
      </c>
      <c r="U11" t="n">
        <v>0.527</v>
      </c>
      <c r="V11" t="n">
        <v>0.652</v>
      </c>
      <c r="W11" t="n">
        <v>0.112</v>
      </c>
    </row>
    <row r="12">
      <c r="A12" t="inlineStr">
        <is>
          <t>Chrysler Pacifica PHEV</t>
        </is>
      </c>
      <c r="B12" t="inlineStr">
        <is>
          <t>Chrysler</t>
        </is>
      </c>
      <c r="C12" t="inlineStr">
        <is>
          <t>Pacifica PHEV</t>
        </is>
      </c>
      <c r="D12" t="n">
        <v>175500</v>
      </c>
      <c r="E12" t="n">
        <v>54.5</v>
      </c>
      <c r="F12" t="n">
        <v>18.9</v>
      </c>
      <c r="G12" t="n">
        <v>0.08500000000000001</v>
      </c>
      <c r="H12" t="n">
        <v>1760</v>
      </c>
      <c r="I12" t="n">
        <v>0.02</v>
      </c>
      <c r="J12" t="n">
        <v>22000</v>
      </c>
      <c r="K12" t="n">
        <v>500</v>
      </c>
      <c r="L12" t="n">
        <v>0.5516</v>
      </c>
      <c r="N12" t="inlineStr">
        <is>
          <t>Mini</t>
        </is>
      </c>
      <c r="O12" t="n">
        <v>2016</v>
      </c>
      <c r="P12" t="inlineStr">
        <is>
          <t>2017,2018</t>
        </is>
      </c>
      <c r="Q12" t="inlineStr"/>
      <c r="R12" t="inlineStr">
        <is>
          <t>2021,2022</t>
        </is>
      </c>
      <c r="T12" t="n">
        <v>6</v>
      </c>
      <c r="U12" t="n">
        <v>0.494</v>
      </c>
      <c r="V12" t="n">
        <v>0.619</v>
      </c>
      <c r="W12" t="n">
        <v>0.155</v>
      </c>
    </row>
    <row r="13">
      <c r="A13" t="inlineStr">
        <is>
          <t>Fiat 500</t>
        </is>
      </c>
      <c r="B13" t="inlineStr">
        <is>
          <t>Fiat</t>
        </is>
      </c>
      <c r="C13" t="inlineStr">
        <is>
          <t>500</t>
        </is>
      </c>
      <c r="D13" t="n">
        <v>159900</v>
      </c>
      <c r="E13" t="n">
        <v>33</v>
      </c>
      <c r="F13" t="n">
        <v>0</v>
      </c>
      <c r="G13" t="n">
        <v>0.08500000000000001</v>
      </c>
      <c r="H13" t="n">
        <v>1600</v>
      </c>
      <c r="I13" t="n">
        <v>0.018</v>
      </c>
      <c r="J13" t="n">
        <v>10200</v>
      </c>
      <c r="K13" t="n">
        <v>400</v>
      </c>
      <c r="L13" t="n">
        <v>0.4687</v>
      </c>
      <c r="N13" t="inlineStr">
        <is>
          <t>Nissan</t>
        </is>
      </c>
      <c r="O13" t="n">
        <v>2015</v>
      </c>
      <c r="P13" t="inlineStr">
        <is>
          <t>2012,2013</t>
        </is>
      </c>
      <c r="Q13" t="inlineStr">
        <is>
          <t>2014,2015</t>
        </is>
      </c>
      <c r="R13" t="inlineStr">
        <is>
          <t>2017,2018,2019</t>
        </is>
      </c>
      <c r="T13" t="n">
        <v>3</v>
      </c>
      <c r="U13" t="n">
        <v>0.409</v>
      </c>
      <c r="V13" t="n">
        <v>0.496</v>
      </c>
      <c r="W13" t="n">
        <v>0.074</v>
      </c>
    </row>
    <row r="14">
      <c r="A14" t="inlineStr">
        <is>
          <t>Fiat 500X</t>
        </is>
      </c>
      <c r="B14" t="inlineStr">
        <is>
          <t>Fiat</t>
        </is>
      </c>
      <c r="C14" t="inlineStr">
        <is>
          <t>500X</t>
        </is>
      </c>
      <c r="D14" t="n">
        <v>149500</v>
      </c>
      <c r="E14" t="n">
        <v>26</v>
      </c>
      <c r="F14" t="n">
        <v>0</v>
      </c>
      <c r="G14" t="n">
        <v>0.08500000000000001</v>
      </c>
      <c r="H14" t="n">
        <v>1640</v>
      </c>
      <c r="I14" t="n">
        <v>0.024</v>
      </c>
      <c r="J14" t="n">
        <v>14800</v>
      </c>
      <c r="K14" t="n">
        <v>500</v>
      </c>
      <c r="L14" t="n">
        <v>0.5324</v>
      </c>
      <c r="N14" t="inlineStr">
        <is>
          <t>Porsche</t>
        </is>
      </c>
      <c r="O14" t="n">
        <v>2014</v>
      </c>
      <c r="P14" t="inlineStr">
        <is>
          <t>2016</t>
        </is>
      </c>
      <c r="Q14" t="inlineStr">
        <is>
          <t>2017,2018</t>
        </is>
      </c>
      <c r="R14" t="inlineStr">
        <is>
          <t>2019,2020</t>
        </is>
      </c>
      <c r="T14" t="n">
        <v>5</v>
      </c>
      <c r="U14" t="n">
        <v>0.475</v>
      </c>
      <c r="V14" t="n">
        <v>0.549</v>
      </c>
      <c r="W14" t="n">
        <v>0.104</v>
      </c>
    </row>
    <row r="15">
      <c r="A15" t="inlineStr">
        <is>
          <t>Ford Escape</t>
        </is>
      </c>
      <c r="B15" t="inlineStr">
        <is>
          <t>Ford</t>
        </is>
      </c>
      <c r="C15" t="inlineStr">
        <is>
          <t>Escape</t>
        </is>
      </c>
      <c r="D15" t="n">
        <v>170300</v>
      </c>
      <c r="E15" t="n">
        <v>26</v>
      </c>
      <c r="F15" t="n">
        <v>0</v>
      </c>
      <c r="G15" t="n">
        <v>0.08500000000000001</v>
      </c>
      <c r="H15" t="n">
        <v>1720</v>
      </c>
      <c r="I15" t="n">
        <v>0.022</v>
      </c>
      <c r="J15" t="n">
        <v>15000</v>
      </c>
      <c r="K15" t="n">
        <v>450</v>
      </c>
      <c r="L15" t="n">
        <v>0.5444</v>
      </c>
      <c r="N15" t="inlineStr">
        <is>
          <t>Subaru</t>
        </is>
      </c>
      <c r="O15" t="n">
        <v>2013</v>
      </c>
      <c r="P15" t="inlineStr">
        <is>
          <t>2013,2014</t>
        </is>
      </c>
      <c r="Q15" t="inlineStr">
        <is>
          <t>2020</t>
        </is>
      </c>
      <c r="R15" t="inlineStr">
        <is>
          <t>2017,2018,2019,2021,2022</t>
        </is>
      </c>
      <c r="T15" t="n">
        <v>5</v>
      </c>
      <c r="U15" t="n">
        <v>0.462</v>
      </c>
      <c r="V15" t="n">
        <v>0.574</v>
      </c>
      <c r="W15" t="n">
        <v>0.104</v>
      </c>
    </row>
    <row r="16">
      <c r="A16" t="inlineStr">
        <is>
          <t>Ford Explorer</t>
        </is>
      </c>
      <c r="B16" t="inlineStr">
        <is>
          <t>Ford</t>
        </is>
      </c>
      <c r="C16" t="inlineStr">
        <is>
          <t>Explorer</t>
        </is>
      </c>
      <c r="D16" t="n">
        <v>184600</v>
      </c>
      <c r="E16" t="n">
        <v>21</v>
      </c>
      <c r="F16" t="n">
        <v>0</v>
      </c>
      <c r="G16" t="n">
        <v>0.08500000000000001</v>
      </c>
      <c r="H16" t="n">
        <v>1720</v>
      </c>
      <c r="I16" t="n">
        <v>0.024</v>
      </c>
      <c r="J16" t="n">
        <v>21000</v>
      </c>
      <c r="K16" t="n">
        <v>500</v>
      </c>
      <c r="L16" t="n">
        <v>0.6409</v>
      </c>
      <c r="N16" t="inlineStr">
        <is>
          <t>Tesla</t>
        </is>
      </c>
      <c r="O16" t="n">
        <v>2012</v>
      </c>
      <c r="P16" t="inlineStr">
        <is>
          <t>2011,2012,2013</t>
        </is>
      </c>
      <c r="Q16" t="inlineStr">
        <is>
          <t>2016,2020</t>
        </is>
      </c>
      <c r="R16" t="inlineStr">
        <is>
          <t>2018,2019,2021,2022</t>
        </is>
      </c>
      <c r="T16" t="n">
        <v>6</v>
      </c>
      <c r="U16" t="n">
        <v>0.542</v>
      </c>
      <c r="V16" t="n">
        <v>0.667</v>
      </c>
      <c r="W16" t="n">
        <v>0.149</v>
      </c>
    </row>
    <row r="17">
      <c r="A17" t="inlineStr">
        <is>
          <t>Ford Ranger (2019+ midsize)</t>
        </is>
      </c>
      <c r="B17" t="inlineStr">
        <is>
          <t>Ford</t>
        </is>
      </c>
      <c r="C17" t="inlineStr">
        <is>
          <t>Ranger (2019+ midsize)</t>
        </is>
      </c>
      <c r="D17" t="n">
        <v>200200</v>
      </c>
      <c r="E17" t="n">
        <v>21</v>
      </c>
      <c r="F17" t="n">
        <v>0</v>
      </c>
      <c r="G17" t="n">
        <v>0.065</v>
      </c>
      <c r="H17" t="n">
        <v>1832</v>
      </c>
      <c r="I17" t="n">
        <v>0.03</v>
      </c>
      <c r="J17" t="n">
        <v>23000</v>
      </c>
      <c r="K17" t="n">
        <v>800</v>
      </c>
      <c r="L17" t="n">
        <v>0.6017</v>
      </c>
      <c r="N17" t="inlineStr">
        <is>
          <t>Toyota</t>
        </is>
      </c>
      <c r="O17" t="n">
        <v>2011</v>
      </c>
      <c r="P17" t="inlineStr"/>
      <c r="Q17" t="inlineStr">
        <is>
          <t>2019</t>
        </is>
      </c>
      <c r="R17" t="inlineStr">
        <is>
          <t>2021,2022,2023</t>
        </is>
      </c>
      <c r="T17" t="n">
        <v>6</v>
      </c>
      <c r="U17" t="n">
        <v>0.513</v>
      </c>
      <c r="V17" t="n">
        <v>0.597</v>
      </c>
      <c r="W17" t="n">
        <v>0.179</v>
      </c>
    </row>
    <row r="18">
      <c r="A18" t="inlineStr">
        <is>
          <t>Ford Ranger (old compact)</t>
        </is>
      </c>
      <c r="B18" t="inlineStr">
        <is>
          <t>Ford</t>
        </is>
      </c>
      <c r="C18" t="inlineStr">
        <is>
          <t>Ranger (old compact)</t>
        </is>
      </c>
      <c r="D18" t="n">
        <v>214500</v>
      </c>
      <c r="E18" t="n">
        <v>21</v>
      </c>
      <c r="F18" t="n">
        <v>0</v>
      </c>
      <c r="G18" t="n">
        <v>0.065</v>
      </c>
      <c r="H18" t="n">
        <v>1832</v>
      </c>
      <c r="I18" t="n">
        <v>0.03</v>
      </c>
      <c r="J18" t="n">
        <v>11500</v>
      </c>
      <c r="K18" t="n">
        <v>800</v>
      </c>
      <c r="L18" t="n">
        <v>0.5601</v>
      </c>
      <c r="N18" t="inlineStr">
        <is>
          <t>VW</t>
        </is>
      </c>
      <c r="O18" t="n">
        <v>2010</v>
      </c>
      <c r="P18" t="inlineStr">
        <is>
          <t>1999,2001,2011</t>
        </is>
      </c>
      <c r="Q18" t="inlineStr">
        <is>
          <t>2002,2004,2005,2006</t>
        </is>
      </c>
      <c r="R18" t="inlineStr">
        <is>
          <t>2008,2009,2010</t>
        </is>
      </c>
      <c r="T18" t="n">
        <v>5</v>
      </c>
      <c r="U18" t="n">
        <v>0.467</v>
      </c>
      <c r="V18" t="n">
        <v>0.547</v>
      </c>
      <c r="W18" t="n">
        <v>0.093</v>
      </c>
    </row>
    <row r="19">
      <c r="A19" t="inlineStr">
        <is>
          <t>Honda Accord</t>
        </is>
      </c>
      <c r="B19" t="inlineStr">
        <is>
          <t>Honda</t>
        </is>
      </c>
      <c r="C19" t="inlineStr">
        <is>
          <t>Accord</t>
        </is>
      </c>
      <c r="D19" t="n">
        <v>240500</v>
      </c>
      <c r="E19" t="n">
        <v>31</v>
      </c>
      <c r="F19" t="n">
        <v>0</v>
      </c>
      <c r="G19" t="n">
        <v>0.045</v>
      </c>
      <c r="H19" t="n">
        <v>1840</v>
      </c>
      <c r="I19" t="n">
        <v>0.018</v>
      </c>
      <c r="J19" t="n">
        <v>16143</v>
      </c>
      <c r="K19" t="n">
        <v>400</v>
      </c>
      <c r="L19" t="n">
        <v>0.4306</v>
      </c>
      <c r="N19" t="inlineStr">
        <is>
          <t>Volvo</t>
        </is>
      </c>
      <c r="O19" t="n">
        <v>2009</v>
      </c>
      <c r="P19" t="inlineStr">
        <is>
          <t>2003,2008,2009,2010</t>
        </is>
      </c>
      <c r="Q19" t="inlineStr">
        <is>
          <t>2018</t>
        </is>
      </c>
      <c r="R19" t="inlineStr">
        <is>
          <t>2011,2012,2016,2017,2020,2021,2022</t>
        </is>
      </c>
      <c r="T19" t="n">
        <v>2</v>
      </c>
      <c r="U19" t="n">
        <v>0.355</v>
      </c>
      <c r="V19" t="n">
        <v>0.425</v>
      </c>
      <c r="W19" t="n">
        <v>0.135</v>
      </c>
    </row>
    <row r="20">
      <c r="A20" t="inlineStr">
        <is>
          <t>Honda CR-V</t>
        </is>
      </c>
      <c r="B20" t="inlineStr">
        <is>
          <t>Honda</t>
        </is>
      </c>
      <c r="C20" t="inlineStr">
        <is>
          <t>CR-V</t>
        </is>
      </c>
      <c r="D20" t="n">
        <v>240500</v>
      </c>
      <c r="E20" t="n">
        <v>28</v>
      </c>
      <c r="F20" t="n">
        <v>0</v>
      </c>
      <c r="G20" t="n">
        <v>0.045</v>
      </c>
      <c r="H20" t="n">
        <v>1680</v>
      </c>
      <c r="I20" t="n">
        <v>0.022</v>
      </c>
      <c r="J20" t="n">
        <v>20500</v>
      </c>
      <c r="K20" t="n">
        <v>450</v>
      </c>
      <c r="L20" t="n">
        <v>0.4792</v>
      </c>
      <c r="O20" t="n">
        <v>2008</v>
      </c>
      <c r="P20" t="inlineStr">
        <is>
          <t>2015,2017,2018</t>
        </is>
      </c>
      <c r="Q20" t="inlineStr">
        <is>
          <t>2011</t>
        </is>
      </c>
      <c r="R20" t="inlineStr">
        <is>
          <t>2016,2019,2020,2021</t>
        </is>
      </c>
      <c r="T20" t="n">
        <v>3</v>
      </c>
      <c r="U20" t="n">
        <v>0.4</v>
      </c>
      <c r="V20" t="n">
        <v>0.48</v>
      </c>
      <c r="W20" t="n">
        <v>0.169</v>
      </c>
    </row>
    <row r="21">
      <c r="A21" t="inlineStr">
        <is>
          <t>Honda Civic</t>
        </is>
      </c>
      <c r="B21" t="inlineStr">
        <is>
          <t>Honda</t>
        </is>
      </c>
      <c r="C21" t="inlineStr">
        <is>
          <t>Civic</t>
        </is>
      </c>
      <c r="D21" t="n">
        <v>235300</v>
      </c>
      <c r="E21" t="n">
        <v>32</v>
      </c>
      <c r="F21" t="n">
        <v>0</v>
      </c>
      <c r="G21" t="n">
        <v>0.045</v>
      </c>
      <c r="H21" t="n">
        <v>1840</v>
      </c>
      <c r="I21" t="n">
        <v>0.018</v>
      </c>
      <c r="J21" t="n">
        <v>23789</v>
      </c>
      <c r="K21" t="n">
        <v>400</v>
      </c>
      <c r="L21" t="n">
        <v>0.4465</v>
      </c>
      <c r="O21" t="n">
        <v>2007</v>
      </c>
      <c r="P21" t="inlineStr">
        <is>
          <t>2001,2002,2006,2007,2008</t>
        </is>
      </c>
      <c r="Q21" t="inlineStr">
        <is>
          <t>2016</t>
        </is>
      </c>
      <c r="R21" t="inlineStr">
        <is>
          <t>2013,2014,2015,2018,2019,2020,2021,2022</t>
        </is>
      </c>
      <c r="T21" t="n">
        <v>2</v>
      </c>
      <c r="U21" t="n">
        <v>0.357</v>
      </c>
      <c r="V21" t="n">
        <v>0.417</v>
      </c>
      <c r="W21" t="n">
        <v>0.218</v>
      </c>
    </row>
    <row r="22">
      <c r="A22" t="inlineStr">
        <is>
          <t>Honda Odyssey</t>
        </is>
      </c>
      <c r="B22" t="inlineStr">
        <is>
          <t>Honda</t>
        </is>
      </c>
      <c r="C22" t="inlineStr">
        <is>
          <t>Odyssey</t>
        </is>
      </c>
      <c r="D22" t="n">
        <v>224900</v>
      </c>
      <c r="E22" t="n">
        <v>22</v>
      </c>
      <c r="F22" t="n">
        <v>0</v>
      </c>
      <c r="G22" t="n">
        <v>0.065</v>
      </c>
      <c r="H22" t="n">
        <v>1680</v>
      </c>
      <c r="I22" t="n">
        <v>0.02</v>
      </c>
      <c r="J22" t="n">
        <v>20333</v>
      </c>
      <c r="K22" t="n">
        <v>500</v>
      </c>
      <c r="L22" t="n">
        <v>0.5689</v>
      </c>
      <c r="O22" t="n">
        <v>2006</v>
      </c>
      <c r="P22" t="inlineStr">
        <is>
          <t>1999,2000,2001,2002,2003,2004</t>
        </is>
      </c>
      <c r="Q22" t="inlineStr">
        <is>
          <t>2011,2014,2018</t>
        </is>
      </c>
      <c r="R22" t="inlineStr">
        <is>
          <t>2013,2015,2016,2017,2020</t>
        </is>
      </c>
      <c r="T22" t="n">
        <v>5</v>
      </c>
      <c r="U22" t="n">
        <v>0.472</v>
      </c>
      <c r="V22" t="n">
        <v>0.58</v>
      </c>
      <c r="W22" t="n">
        <v>0.158</v>
      </c>
    </row>
    <row r="23">
      <c r="A23" t="inlineStr">
        <is>
          <t>Honda Pilot</t>
        </is>
      </c>
      <c r="B23" t="inlineStr">
        <is>
          <t>Honda</t>
        </is>
      </c>
      <c r="C23" t="inlineStr">
        <is>
          <t>Pilot</t>
        </is>
      </c>
      <c r="D23" t="n">
        <v>224900</v>
      </c>
      <c r="E23" t="n">
        <v>20</v>
      </c>
      <c r="F23" t="n">
        <v>0</v>
      </c>
      <c r="G23" t="n">
        <v>0.045</v>
      </c>
      <c r="H23" t="n">
        <v>1680</v>
      </c>
      <c r="I23" t="n">
        <v>0.024</v>
      </c>
      <c r="J23" t="n">
        <v>22500</v>
      </c>
      <c r="K23" t="n">
        <v>500</v>
      </c>
      <c r="L23" t="n">
        <v>0.5953000000000001</v>
      </c>
      <c r="O23" t="n">
        <v>2005</v>
      </c>
      <c r="P23" t="inlineStr">
        <is>
          <t>2016</t>
        </is>
      </c>
      <c r="Q23" t="inlineStr">
        <is>
          <t>2003,2005</t>
        </is>
      </c>
      <c r="R23" t="inlineStr">
        <is>
          <t>2012,2013,2014,2015,2018,2019</t>
        </is>
      </c>
      <c r="T23" t="n">
        <v>6</v>
      </c>
      <c r="U23" t="n">
        <v>0.507</v>
      </c>
      <c r="V23" t="n">
        <v>0.605</v>
      </c>
      <c r="W23" t="n">
        <v>0.172</v>
      </c>
    </row>
    <row r="24">
      <c r="A24" t="inlineStr">
        <is>
          <t>Hyundai Elantra</t>
        </is>
      </c>
      <c r="B24" t="inlineStr">
        <is>
          <t>Hyundai</t>
        </is>
      </c>
      <c r="C24" t="inlineStr">
        <is>
          <t>Elantra</t>
        </is>
      </c>
      <c r="D24" t="n">
        <v>200200</v>
      </c>
      <c r="E24" t="n">
        <v>35</v>
      </c>
      <c r="F24" t="n">
        <v>0</v>
      </c>
      <c r="G24" t="n">
        <v>0.065</v>
      </c>
      <c r="H24" t="n">
        <v>1640</v>
      </c>
      <c r="I24" t="n">
        <v>0.018</v>
      </c>
      <c r="J24" t="n">
        <v>16000</v>
      </c>
      <c r="K24" t="n">
        <v>400</v>
      </c>
      <c r="L24" t="n">
        <v>0.4297</v>
      </c>
      <c r="P24" t="inlineStr"/>
      <c r="Q24" t="inlineStr">
        <is>
          <t>2011,2012,2013,2017</t>
        </is>
      </c>
      <c r="R24" t="inlineStr">
        <is>
          <t>2018,2019,2020,2021</t>
        </is>
      </c>
      <c r="T24" t="n">
        <v>2</v>
      </c>
      <c r="U24" t="n">
        <v>0.357</v>
      </c>
      <c r="V24" t="n">
        <v>0.432</v>
      </c>
      <c r="W24" t="n">
        <v>0.128</v>
      </c>
    </row>
    <row r="25">
      <c r="A25" t="inlineStr">
        <is>
          <t>Hyundai Kona</t>
        </is>
      </c>
      <c r="B25" t="inlineStr">
        <is>
          <t>Hyundai</t>
        </is>
      </c>
      <c r="C25" t="inlineStr">
        <is>
          <t>Kona</t>
        </is>
      </c>
      <c r="D25" t="n">
        <v>184600</v>
      </c>
      <c r="E25" t="n">
        <v>30</v>
      </c>
      <c r="F25" t="n">
        <v>0</v>
      </c>
      <c r="G25" t="n">
        <v>0.065</v>
      </c>
      <c r="H25" t="n">
        <v>1640</v>
      </c>
      <c r="I25" t="n">
        <v>0.022</v>
      </c>
      <c r="J25" t="n">
        <v>15000</v>
      </c>
      <c r="K25" t="n">
        <v>450</v>
      </c>
      <c r="L25" t="n">
        <v>0.4792</v>
      </c>
      <c r="P25" t="inlineStr"/>
      <c r="Q25" t="inlineStr">
        <is>
          <t>2018</t>
        </is>
      </c>
      <c r="R25" t="inlineStr">
        <is>
          <t>2020,2021,2022</t>
        </is>
      </c>
      <c r="T25" t="n">
        <v>4</v>
      </c>
      <c r="U25" t="n">
        <v>0.423</v>
      </c>
      <c r="V25" t="n">
        <v>0.504</v>
      </c>
      <c r="W25" t="n">
        <v>0.108</v>
      </c>
    </row>
    <row r="26">
      <c r="A26" t="inlineStr">
        <is>
          <t>Hyundai Palisade</t>
        </is>
      </c>
      <c r="B26" t="inlineStr">
        <is>
          <t>Hyundai</t>
        </is>
      </c>
      <c r="C26" t="inlineStr">
        <is>
          <t>Palisade</t>
        </is>
      </c>
      <c r="D26" t="n">
        <v>200200</v>
      </c>
      <c r="E26" t="n">
        <v>21</v>
      </c>
      <c r="F26" t="n">
        <v>0</v>
      </c>
      <c r="G26" t="n">
        <v>0.065</v>
      </c>
      <c r="H26" t="n">
        <v>1720</v>
      </c>
      <c r="I26" t="n">
        <v>0.024</v>
      </c>
      <c r="J26" t="n">
        <v>31000</v>
      </c>
      <c r="K26" t="n">
        <v>500</v>
      </c>
      <c r="L26" t="n">
        <v>0.6341</v>
      </c>
      <c r="P26" t="inlineStr"/>
      <c r="Q26" t="inlineStr">
        <is>
          <t>2020</t>
        </is>
      </c>
      <c r="R26" t="inlineStr">
        <is>
          <t>2022,2023,2024</t>
        </is>
      </c>
      <c r="T26" t="n">
        <v>6</v>
      </c>
      <c r="U26" t="n">
        <v>0.523</v>
      </c>
      <c r="V26" t="n">
        <v>0.617</v>
      </c>
      <c r="W26" t="n">
        <v>0.248</v>
      </c>
    </row>
    <row r="27">
      <c r="A27" t="inlineStr">
        <is>
          <t>Hyundai Santa Fe</t>
        </is>
      </c>
      <c r="B27" t="inlineStr">
        <is>
          <t>Hyundai</t>
        </is>
      </c>
      <c r="C27" t="inlineStr">
        <is>
          <t>Santa Fe</t>
        </is>
      </c>
      <c r="D27" t="n">
        <v>189800</v>
      </c>
      <c r="E27" t="n">
        <v>25</v>
      </c>
      <c r="F27" t="n">
        <v>0</v>
      </c>
      <c r="G27" t="n">
        <v>0.065</v>
      </c>
      <c r="H27" t="n">
        <v>1720</v>
      </c>
      <c r="I27" t="n">
        <v>0.024</v>
      </c>
      <c r="J27" t="n">
        <v>16667</v>
      </c>
      <c r="K27" t="n">
        <v>500</v>
      </c>
      <c r="L27" t="n">
        <v>0.5492</v>
      </c>
      <c r="P27" t="inlineStr">
        <is>
          <t>2013,2014</t>
        </is>
      </c>
      <c r="Q27" t="inlineStr">
        <is>
          <t>2019</t>
        </is>
      </c>
      <c r="R27" t="inlineStr">
        <is>
          <t>2020,2021,2022</t>
        </is>
      </c>
      <c r="T27" t="n">
        <v>5</v>
      </c>
      <c r="U27" t="n">
        <v>0.487</v>
      </c>
      <c r="V27" t="n">
        <v>0.594</v>
      </c>
      <c r="W27" t="n">
        <v>0.117</v>
      </c>
    </row>
    <row r="28">
      <c r="A28" t="inlineStr">
        <is>
          <t>Hyundai Sonata</t>
        </is>
      </c>
      <c r="B28" t="inlineStr">
        <is>
          <t>Hyundai</t>
        </is>
      </c>
      <c r="C28" t="inlineStr">
        <is>
          <t>Sonata</t>
        </is>
      </c>
      <c r="D28" t="n">
        <v>195000</v>
      </c>
      <c r="E28" t="n">
        <v>32</v>
      </c>
      <c r="F28" t="n">
        <v>0</v>
      </c>
      <c r="G28" t="n">
        <v>0.065</v>
      </c>
      <c r="H28" t="n">
        <v>1720</v>
      </c>
      <c r="I28" t="n">
        <v>0.018</v>
      </c>
      <c r="J28" t="n">
        <v>15333</v>
      </c>
      <c r="K28" t="n">
        <v>400</v>
      </c>
      <c r="L28" t="n">
        <v>0.4558</v>
      </c>
      <c r="P28" t="inlineStr">
        <is>
          <t>2011,2012,2013,2014,2015</t>
        </is>
      </c>
      <c r="Q28" t="inlineStr"/>
      <c r="R28" t="inlineStr">
        <is>
          <t>2018,2019,2020,2021</t>
        </is>
      </c>
      <c r="T28" t="n">
        <v>3</v>
      </c>
      <c r="U28" t="n">
        <v>0.387</v>
      </c>
      <c r="V28" t="n">
        <v>0.478</v>
      </c>
      <c r="W28" t="n">
        <v>0.116</v>
      </c>
    </row>
    <row r="29">
      <c r="A29" t="inlineStr">
        <is>
          <t>Hyundai Tucson</t>
        </is>
      </c>
      <c r="B29" t="inlineStr">
        <is>
          <t>Hyundai</t>
        </is>
      </c>
      <c r="C29" t="inlineStr">
        <is>
          <t>Tucson</t>
        </is>
      </c>
      <c r="D29" t="n">
        <v>170300</v>
      </c>
      <c r="E29" t="n">
        <v>25</v>
      </c>
      <c r="F29" t="n">
        <v>0</v>
      </c>
      <c r="G29" t="n">
        <v>0.08500000000000001</v>
      </c>
      <c r="H29" t="n">
        <v>1680</v>
      </c>
      <c r="I29" t="n">
        <v>0.022</v>
      </c>
      <c r="J29" t="n">
        <v>19541</v>
      </c>
      <c r="K29" t="n">
        <v>450</v>
      </c>
      <c r="L29" t="n">
        <v>0.5764</v>
      </c>
      <c r="P29" t="inlineStr">
        <is>
          <t>2011,2012,2013</t>
        </is>
      </c>
      <c r="Q29" t="inlineStr">
        <is>
          <t>2016</t>
        </is>
      </c>
      <c r="R29" t="inlineStr">
        <is>
          <t>2019,2020,2021,2022</t>
        </is>
      </c>
      <c r="T29" t="n">
        <v>5</v>
      </c>
      <c r="U29" t="n">
        <v>0.491</v>
      </c>
      <c r="V29" t="n">
        <v>0.579</v>
      </c>
      <c r="W29" t="n">
        <v>0.139</v>
      </c>
    </row>
    <row r="30">
      <c r="A30" t="inlineStr">
        <is>
          <t>Jeep Grand Cherokee L</t>
        </is>
      </c>
      <c r="B30" t="inlineStr">
        <is>
          <t>Jeep</t>
        </is>
      </c>
      <c r="C30" t="inlineStr">
        <is>
          <t>Grand Cherokee L</t>
        </is>
      </c>
      <c r="D30" t="n">
        <v>184600</v>
      </c>
      <c r="E30" t="n">
        <v>19</v>
      </c>
      <c r="F30" t="n">
        <v>0</v>
      </c>
      <c r="G30" t="n">
        <v>0.08500000000000001</v>
      </c>
      <c r="H30" t="n">
        <v>1760</v>
      </c>
      <c r="I30" t="n">
        <v>0.024</v>
      </c>
      <c r="J30" t="n">
        <v>28600</v>
      </c>
      <c r="K30" t="n">
        <v>500</v>
      </c>
      <c r="L30" t="n">
        <v>0.7036</v>
      </c>
      <c r="P30" t="inlineStr"/>
      <c r="Q30" t="inlineStr">
        <is>
          <t>2021</t>
        </is>
      </c>
      <c r="R30" t="inlineStr">
        <is>
          <t>2022,2023</t>
        </is>
      </c>
      <c r="T30" t="n">
        <v>7</v>
      </c>
      <c r="U30" t="n">
        <v>0.591</v>
      </c>
      <c r="V30" t="n">
        <v>0.695</v>
      </c>
      <c r="W30" t="n">
        <v>0.213</v>
      </c>
    </row>
    <row r="31">
      <c r="A31" t="inlineStr">
        <is>
          <t>Kia K4</t>
        </is>
      </c>
      <c r="B31" t="inlineStr">
        <is>
          <t>Kia</t>
        </is>
      </c>
      <c r="C31" t="inlineStr">
        <is>
          <t>K4</t>
        </is>
      </c>
      <c r="D31" t="n">
        <v>189800</v>
      </c>
      <c r="E31" t="n">
        <v>34</v>
      </c>
      <c r="F31" t="n">
        <v>0</v>
      </c>
      <c r="G31" t="n">
        <v>0.065</v>
      </c>
      <c r="H31" t="n">
        <v>1640</v>
      </c>
      <c r="I31" t="n">
        <v>0.018</v>
      </c>
      <c r="J31" t="n">
        <v>20125</v>
      </c>
      <c r="K31" t="n">
        <v>400</v>
      </c>
      <c r="L31" t="n">
        <v>0.451</v>
      </c>
      <c r="P31" t="inlineStr"/>
      <c r="Q31" t="inlineStr">
        <is>
          <t>2025</t>
        </is>
      </c>
      <c r="R31" t="inlineStr">
        <is>
          <t>2026</t>
        </is>
      </c>
      <c r="T31" t="n">
        <v>2</v>
      </c>
      <c r="U31" t="n">
        <v>0.369</v>
      </c>
      <c r="V31" t="n">
        <v>0.436</v>
      </c>
      <c r="W31" t="n">
        <v>0.169</v>
      </c>
    </row>
    <row r="32">
      <c r="A32" t="inlineStr">
        <is>
          <t>Kia Niro (hybrid)</t>
        </is>
      </c>
      <c r="B32" t="inlineStr">
        <is>
          <t>Kia</t>
        </is>
      </c>
      <c r="C32" t="inlineStr">
        <is>
          <t>Niro (hybrid)</t>
        </is>
      </c>
      <c r="D32" t="n">
        <v>205400</v>
      </c>
      <c r="E32" t="n">
        <v>49</v>
      </c>
      <c r="F32" t="n">
        <v>0</v>
      </c>
      <c r="G32" t="n">
        <v>0.065</v>
      </c>
      <c r="H32" t="n">
        <v>1680</v>
      </c>
      <c r="I32" t="n">
        <v>0.022</v>
      </c>
      <c r="J32" t="n">
        <v>17000</v>
      </c>
      <c r="K32" t="n">
        <v>450</v>
      </c>
      <c r="L32" t="n">
        <v>0.4092</v>
      </c>
      <c r="P32" t="inlineStr"/>
      <c r="Q32" t="inlineStr">
        <is>
          <t>2017</t>
        </is>
      </c>
      <c r="R32" t="inlineStr">
        <is>
          <t>2018,2019,2020,2021</t>
        </is>
      </c>
      <c r="T32" t="n">
        <v>3</v>
      </c>
      <c r="U32" t="n">
        <v>0.367</v>
      </c>
      <c r="V32" t="n">
        <v>0.46</v>
      </c>
      <c r="W32" t="n">
        <v>0.13</v>
      </c>
    </row>
    <row r="33">
      <c r="A33" t="inlineStr">
        <is>
          <t>Kia Sorento</t>
        </is>
      </c>
      <c r="B33" t="inlineStr">
        <is>
          <t>Kia</t>
        </is>
      </c>
      <c r="C33" t="inlineStr">
        <is>
          <t>Sorento</t>
        </is>
      </c>
      <c r="D33" t="n">
        <v>200200</v>
      </c>
      <c r="E33" t="n">
        <v>24</v>
      </c>
      <c r="F33" t="n">
        <v>0</v>
      </c>
      <c r="G33" t="n">
        <v>0.065</v>
      </c>
      <c r="H33" t="n">
        <v>1720</v>
      </c>
      <c r="I33" t="n">
        <v>0.024</v>
      </c>
      <c r="J33" t="n">
        <v>18333</v>
      </c>
      <c r="K33" t="n">
        <v>500</v>
      </c>
      <c r="L33" t="n">
        <v>0.5543</v>
      </c>
      <c r="P33" t="inlineStr">
        <is>
          <t>2012,2013,2014</t>
        </is>
      </c>
      <c r="Q33" t="inlineStr">
        <is>
          <t>2016</t>
        </is>
      </c>
      <c r="R33" t="inlineStr">
        <is>
          <t>2019,2020,2021,2022</t>
        </is>
      </c>
      <c r="T33" t="n">
        <v>5</v>
      </c>
      <c r="U33" t="n">
        <v>0.482</v>
      </c>
      <c r="V33" t="n">
        <v>0.586</v>
      </c>
      <c r="W33" t="n">
        <v>0.135</v>
      </c>
    </row>
    <row r="34">
      <c r="A34" t="inlineStr">
        <is>
          <t>Kia Soul</t>
        </is>
      </c>
      <c r="B34" t="inlineStr">
        <is>
          <t>Kia</t>
        </is>
      </c>
      <c r="C34" t="inlineStr">
        <is>
          <t>Soul</t>
        </is>
      </c>
      <c r="D34" t="n">
        <v>184600</v>
      </c>
      <c r="E34" t="n">
        <v>29</v>
      </c>
      <c r="F34" t="n">
        <v>0</v>
      </c>
      <c r="G34" t="n">
        <v>0.065</v>
      </c>
      <c r="H34" t="n">
        <v>1640</v>
      </c>
      <c r="I34" t="n">
        <v>0.022</v>
      </c>
      <c r="J34" t="n">
        <v>14500</v>
      </c>
      <c r="K34" t="n">
        <v>450</v>
      </c>
      <c r="L34" t="n">
        <v>0.4758</v>
      </c>
      <c r="P34" t="inlineStr">
        <is>
          <t>2012,2013,2014</t>
        </is>
      </c>
      <c r="Q34" t="inlineStr">
        <is>
          <t>2020</t>
        </is>
      </c>
      <c r="R34" t="inlineStr">
        <is>
          <t>2017,2018,2019,2021,2022</t>
        </is>
      </c>
      <c r="T34" t="n">
        <v>3</v>
      </c>
      <c r="U34" t="n">
        <v>0.406</v>
      </c>
      <c r="V34" t="n">
        <v>0.494</v>
      </c>
      <c r="W34" t="n">
        <v>0.106</v>
      </c>
    </row>
    <row r="35">
      <c r="A35" t="inlineStr">
        <is>
          <t>Kia Sportage</t>
        </is>
      </c>
      <c r="B35" t="inlineStr">
        <is>
          <t>Kia</t>
        </is>
      </c>
      <c r="C35" t="inlineStr">
        <is>
          <t>Sportage</t>
        </is>
      </c>
      <c r="D35" t="n">
        <v>184600</v>
      </c>
      <c r="E35" t="n">
        <v>26</v>
      </c>
      <c r="F35" t="n">
        <v>0</v>
      </c>
      <c r="G35" t="n">
        <v>0.065</v>
      </c>
      <c r="H35" t="n">
        <v>1680</v>
      </c>
      <c r="I35" t="n">
        <v>0.024</v>
      </c>
      <c r="J35" t="n">
        <v>15667</v>
      </c>
      <c r="K35" t="n">
        <v>500</v>
      </c>
      <c r="L35" t="n">
        <v>0.5293</v>
      </c>
      <c r="P35" t="inlineStr">
        <is>
          <t>2011,2012,2013</t>
        </is>
      </c>
      <c r="Q35" t="inlineStr">
        <is>
          <t>2017</t>
        </is>
      </c>
      <c r="R35" t="inlineStr">
        <is>
          <t>2019,2020,2021,2023</t>
        </is>
      </c>
      <c r="T35" t="n">
        <v>5</v>
      </c>
      <c r="U35" t="n">
        <v>0.468</v>
      </c>
      <c r="V35" t="n">
        <v>0.571</v>
      </c>
      <c r="W35" t="n">
        <v>0.11</v>
      </c>
    </row>
    <row r="36">
      <c r="A36" t="inlineStr">
        <is>
          <t>Kia Telluride</t>
        </is>
      </c>
      <c r="B36" t="inlineStr">
        <is>
          <t>Kia</t>
        </is>
      </c>
      <c r="C36" t="inlineStr">
        <is>
          <t>Telluride</t>
        </is>
      </c>
      <c r="D36" t="n">
        <v>200200</v>
      </c>
      <c r="E36" t="n">
        <v>21</v>
      </c>
      <c r="F36" t="n">
        <v>0</v>
      </c>
      <c r="G36" t="n">
        <v>0.065</v>
      </c>
      <c r="H36" t="n">
        <v>1720</v>
      </c>
      <c r="I36" t="n">
        <v>0.024</v>
      </c>
      <c r="J36" t="n">
        <v>33000</v>
      </c>
      <c r="K36" t="n">
        <v>500</v>
      </c>
      <c r="L36" t="n">
        <v>0.647</v>
      </c>
      <c r="P36" t="inlineStr">
        <is>
          <t>2020,2021</t>
        </is>
      </c>
      <c r="Q36" t="inlineStr"/>
      <c r="R36" t="inlineStr">
        <is>
          <t>2022,2023,2024</t>
        </is>
      </c>
      <c r="T36" t="n">
        <v>6</v>
      </c>
      <c r="U36" t="n">
        <v>0.53</v>
      </c>
      <c r="V36" t="n">
        <v>0.624</v>
      </c>
      <c r="W36" t="n">
        <v>0.264</v>
      </c>
    </row>
    <row r="37">
      <c r="A37" t="inlineStr">
        <is>
          <t>Mazda CX-5</t>
        </is>
      </c>
      <c r="B37" t="inlineStr">
        <is>
          <t>Mazda</t>
        </is>
      </c>
      <c r="C37" t="inlineStr">
        <is>
          <t>CX-5</t>
        </is>
      </c>
      <c r="D37" t="n">
        <v>214500</v>
      </c>
      <c r="E37" t="n">
        <v>26</v>
      </c>
      <c r="F37" t="n">
        <v>0</v>
      </c>
      <c r="G37" t="n">
        <v>0.045</v>
      </c>
      <c r="H37" t="n">
        <v>1680</v>
      </c>
      <c r="I37" t="n">
        <v>0.022</v>
      </c>
      <c r="J37" t="n">
        <v>20600</v>
      </c>
      <c r="K37" t="n">
        <v>450</v>
      </c>
      <c r="L37" t="n">
        <v>0.5033</v>
      </c>
      <c r="P37" t="inlineStr"/>
      <c r="Q37" t="inlineStr">
        <is>
          <t>2014,2016</t>
        </is>
      </c>
      <c r="R37" t="inlineStr">
        <is>
          <t>2013,2017,2020,2021</t>
        </is>
      </c>
      <c r="T37" t="n">
        <v>4</v>
      </c>
      <c r="U37" t="n">
        <v>0.427</v>
      </c>
      <c r="V37" t="n">
        <v>0.505</v>
      </c>
      <c r="W37" t="n">
        <v>0.162</v>
      </c>
    </row>
    <row r="38">
      <c r="A38" t="inlineStr">
        <is>
          <t>Mazda CX-90</t>
        </is>
      </c>
      <c r="B38" t="inlineStr">
        <is>
          <t>Mazda</t>
        </is>
      </c>
      <c r="C38" t="inlineStr">
        <is>
          <t>CX-90</t>
        </is>
      </c>
      <c r="D38" t="n">
        <v>200200</v>
      </c>
      <c r="E38" t="n">
        <v>24</v>
      </c>
      <c r="F38" t="n">
        <v>0</v>
      </c>
      <c r="G38" t="n">
        <v>0.065</v>
      </c>
      <c r="H38" t="n">
        <v>1720</v>
      </c>
      <c r="I38" t="n">
        <v>0.024</v>
      </c>
      <c r="J38" t="n">
        <v>38750</v>
      </c>
      <c r="K38" t="n">
        <v>500</v>
      </c>
      <c r="L38" t="n">
        <v>0.6408</v>
      </c>
      <c r="P38" t="inlineStr"/>
      <c r="Q38" t="inlineStr">
        <is>
          <t>2024</t>
        </is>
      </c>
      <c r="R38" t="inlineStr">
        <is>
          <t>2025</t>
        </is>
      </c>
      <c r="T38" t="n">
        <v>6</v>
      </c>
      <c r="U38" t="n">
        <v>0.535</v>
      </c>
      <c r="V38" t="n">
        <v>0.632</v>
      </c>
      <c r="W38" t="n">
        <v>0.324</v>
      </c>
    </row>
    <row r="39">
      <c r="A39" t="inlineStr">
        <is>
          <t>Mazda3 (SkyActiv)</t>
        </is>
      </c>
      <c r="B39" t="inlineStr">
        <is>
          <t>Mazda</t>
        </is>
      </c>
      <c r="C39" t="inlineStr">
        <is>
          <t>Mazda3 (SkyActiv)</t>
        </is>
      </c>
      <c r="D39" t="n">
        <v>210600</v>
      </c>
      <c r="E39" t="n">
        <v>30</v>
      </c>
      <c r="F39" t="n">
        <v>0</v>
      </c>
      <c r="G39" t="n">
        <v>0.045</v>
      </c>
      <c r="H39" t="n">
        <v>1720</v>
      </c>
      <c r="I39" t="n">
        <v>0.018</v>
      </c>
      <c r="J39" t="n">
        <v>15000</v>
      </c>
      <c r="K39" t="n">
        <v>400</v>
      </c>
      <c r="L39" t="n">
        <v>0.4374</v>
      </c>
      <c r="P39" t="inlineStr"/>
      <c r="Q39" t="inlineStr">
        <is>
          <t>2004,2005,2006,2010,2014,2015,2019</t>
        </is>
      </c>
      <c r="R39" t="inlineStr">
        <is>
          <t>2013,2016,2017,2018,2021,2022</t>
        </is>
      </c>
      <c r="T39" t="n">
        <v>2</v>
      </c>
      <c r="U39" t="n">
        <v>0.364</v>
      </c>
      <c r="V39" t="n">
        <v>0.441</v>
      </c>
      <c r="W39" t="n">
        <v>0.117</v>
      </c>
    </row>
    <row r="40">
      <c r="A40" t="inlineStr">
        <is>
          <t>Mini Cooper</t>
        </is>
      </c>
      <c r="B40" t="inlineStr">
        <is>
          <t>Mini</t>
        </is>
      </c>
      <c r="C40" t="inlineStr">
        <is>
          <t>Cooper</t>
        </is>
      </c>
      <c r="D40" t="n">
        <v>175500</v>
      </c>
      <c r="E40" t="n">
        <v>30</v>
      </c>
      <c r="F40" t="n">
        <v>0</v>
      </c>
      <c r="G40" t="n">
        <v>0.08500000000000001</v>
      </c>
      <c r="H40" t="n">
        <v>1720</v>
      </c>
      <c r="I40" t="n">
        <v>0.018</v>
      </c>
      <c r="J40" t="n">
        <v>18200</v>
      </c>
      <c r="K40" t="n">
        <v>400</v>
      </c>
      <c r="L40" t="n">
        <v>0.5107</v>
      </c>
      <c r="P40" t="inlineStr"/>
      <c r="Q40" t="inlineStr">
        <is>
          <t>2014</t>
        </is>
      </c>
      <c r="R40" t="inlineStr">
        <is>
          <t>2016,2017,2018,2019</t>
        </is>
      </c>
      <c r="T40" t="n">
        <v>5</v>
      </c>
      <c r="U40" t="n">
        <v>0.451</v>
      </c>
      <c r="V40" t="n">
        <v>0.5659999999999999</v>
      </c>
      <c r="W40" t="n">
        <v>0.136</v>
      </c>
    </row>
    <row r="41">
      <c r="A41" t="inlineStr">
        <is>
          <t>Mini Countryman</t>
        </is>
      </c>
      <c r="B41" t="inlineStr">
        <is>
          <t>Mini</t>
        </is>
      </c>
      <c r="C41" t="inlineStr">
        <is>
          <t>Countryman</t>
        </is>
      </c>
      <c r="D41" t="n">
        <v>175500</v>
      </c>
      <c r="E41" t="n">
        <v>26</v>
      </c>
      <c r="F41" t="n">
        <v>0</v>
      </c>
      <c r="G41" t="n">
        <v>0.08500000000000001</v>
      </c>
      <c r="H41" t="n">
        <v>1760</v>
      </c>
      <c r="I41" t="n">
        <v>0.024</v>
      </c>
      <c r="J41" t="n">
        <v>19000</v>
      </c>
      <c r="K41" t="n">
        <v>500</v>
      </c>
      <c r="L41" t="n">
        <v>0.5657</v>
      </c>
      <c r="P41" t="inlineStr">
        <is>
          <t>2011,2012,2013</t>
        </is>
      </c>
      <c r="Q41" t="inlineStr">
        <is>
          <t>2017</t>
        </is>
      </c>
      <c r="R41" t="inlineStr">
        <is>
          <t>2018,2019,2020</t>
        </is>
      </c>
      <c r="T41" t="n">
        <v>6</v>
      </c>
      <c r="U41" t="n">
        <v>0.509</v>
      </c>
      <c r="V41" t="n">
        <v>0.628</v>
      </c>
      <c r="W41" t="n">
        <v>0.138</v>
      </c>
    </row>
    <row r="42">
      <c r="A42" t="inlineStr">
        <is>
          <t>Nissan Leaf</t>
        </is>
      </c>
      <c r="B42" t="inlineStr">
        <is>
          <t>Nissan</t>
        </is>
      </c>
      <c r="C42" t="inlineStr">
        <is>
          <t>Leaf</t>
        </is>
      </c>
      <c r="D42" t="n">
        <v>140400</v>
      </c>
      <c r="E42" t="n">
        <v>0</v>
      </c>
      <c r="F42" t="n">
        <v>32.4</v>
      </c>
      <c r="G42" t="n">
        <v>0.065</v>
      </c>
      <c r="H42" t="n">
        <v>1760</v>
      </c>
      <c r="I42" t="n">
        <v>0.03</v>
      </c>
      <c r="J42" t="n">
        <v>11667</v>
      </c>
      <c r="K42" t="n">
        <v>600</v>
      </c>
      <c r="L42" t="n">
        <v>0.4009</v>
      </c>
      <c r="P42" t="inlineStr">
        <is>
          <t>2011,2012,2013,2014,2015,2016</t>
        </is>
      </c>
      <c r="Q42" t="inlineStr">
        <is>
          <t>2017,2018</t>
        </is>
      </c>
      <c r="R42" t="inlineStr">
        <is>
          <t>2019,2020,2021,2022</t>
        </is>
      </c>
      <c r="T42" t="n">
        <v>2</v>
      </c>
      <c r="U42" t="n">
        <v>0.339</v>
      </c>
      <c r="V42" t="n">
        <v>0.473</v>
      </c>
      <c r="W42" t="n">
        <v>0.079</v>
      </c>
    </row>
    <row r="43">
      <c r="A43" t="inlineStr">
        <is>
          <t>Nissan Rogue</t>
        </is>
      </c>
      <c r="B43" t="inlineStr">
        <is>
          <t>Nissan</t>
        </is>
      </c>
      <c r="C43" t="inlineStr">
        <is>
          <t>Rogue</t>
        </is>
      </c>
      <c r="D43" t="n">
        <v>170300</v>
      </c>
      <c r="E43" t="n">
        <v>29</v>
      </c>
      <c r="F43" t="n">
        <v>0</v>
      </c>
      <c r="G43" t="n">
        <v>0.08500000000000001</v>
      </c>
      <c r="H43" t="n">
        <v>1664</v>
      </c>
      <c r="I43" t="n">
        <v>0.022</v>
      </c>
      <c r="J43" t="n">
        <v>18800</v>
      </c>
      <c r="K43" t="n">
        <v>450</v>
      </c>
      <c r="L43" t="n">
        <v>0.5394</v>
      </c>
      <c r="P43" t="inlineStr">
        <is>
          <t>2013,2014,2015,2016,2017,2018,2019</t>
        </is>
      </c>
      <c r="Q43" t="inlineStr">
        <is>
          <t>2011,2012,2020</t>
        </is>
      </c>
      <c r="R43" t="inlineStr">
        <is>
          <t>2021,2022</t>
        </is>
      </c>
      <c r="T43" t="n">
        <v>4</v>
      </c>
      <c r="U43" t="n">
        <v>0.451</v>
      </c>
      <c r="V43" t="n">
        <v>0.541</v>
      </c>
      <c r="W43" t="n">
        <v>0.134</v>
      </c>
    </row>
    <row r="44">
      <c r="A44" t="inlineStr">
        <is>
          <t>Porsche 996 Carrera</t>
        </is>
      </c>
      <c r="B44" t="inlineStr">
        <is>
          <t>Porsche</t>
        </is>
      </c>
      <c r="C44" t="inlineStr">
        <is>
          <t>996 Carrera</t>
        </is>
      </c>
      <c r="D44" t="n">
        <v>125000</v>
      </c>
      <c r="E44" t="n">
        <v>19</v>
      </c>
      <c r="F44" t="n">
        <v>0</v>
      </c>
      <c r="G44" t="n">
        <v>0.32</v>
      </c>
      <c r="H44" t="n">
        <v>1760</v>
      </c>
      <c r="I44" t="n">
        <v>0.05</v>
      </c>
      <c r="J44" t="n">
        <v>38833</v>
      </c>
      <c r="K44" t="n">
        <v>34950</v>
      </c>
      <c r="L44" t="n">
        <v>0.7959000000000001</v>
      </c>
      <c r="P44" t="inlineStr"/>
      <c r="Q44" t="inlineStr">
        <is>
          <t>1999,2000,2001</t>
        </is>
      </c>
      <c r="R44" t="inlineStr">
        <is>
          <t>2002,2003,2004</t>
        </is>
      </c>
      <c r="T44" t="n">
        <v>9</v>
      </c>
      <c r="U44" t="n">
        <v>0.821</v>
      </c>
      <c r="V44" t="n">
        <v>0.91</v>
      </c>
      <c r="W44" t="n">
        <v>0.112</v>
      </c>
    </row>
    <row r="45">
      <c r="A45" t="inlineStr">
        <is>
          <t>Porsche 996 Turbo</t>
        </is>
      </c>
      <c r="B45" t="inlineStr">
        <is>
          <t>Porsche</t>
        </is>
      </c>
      <c r="C45" t="inlineStr">
        <is>
          <t>996 Turbo</t>
        </is>
      </c>
      <c r="D45" t="n">
        <v>125000</v>
      </c>
      <c r="E45" t="n">
        <v>17</v>
      </c>
      <c r="F45" t="n">
        <v>0</v>
      </c>
      <c r="G45" t="n">
        <v>0.32</v>
      </c>
      <c r="H45" t="n">
        <v>1920</v>
      </c>
      <c r="I45" t="n">
        <v>0.05</v>
      </c>
      <c r="J45" t="n">
        <v>60333</v>
      </c>
      <c r="K45" t="n">
        <v>54300</v>
      </c>
      <c r="L45" t="n">
        <v>0.864</v>
      </c>
      <c r="P45" t="inlineStr"/>
      <c r="Q45" t="inlineStr"/>
      <c r="R45" t="inlineStr">
        <is>
          <t>2001,2002,2003,2004,2005</t>
        </is>
      </c>
      <c r="T45" t="n">
        <v>10</v>
      </c>
      <c r="U45" t="n">
        <v>1.014</v>
      </c>
      <c r="V45" t="n">
        <v>1.093</v>
      </c>
      <c r="W45" t="n">
        <v>0.16</v>
      </c>
    </row>
    <row r="46">
      <c r="A46" t="inlineStr">
        <is>
          <t>Subaru Ascent</t>
        </is>
      </c>
      <c r="B46" t="inlineStr">
        <is>
          <t>Subaru</t>
        </is>
      </c>
      <c r="C46" t="inlineStr">
        <is>
          <t>Ascent</t>
        </is>
      </c>
      <c r="D46" t="n">
        <v>184600</v>
      </c>
      <c r="E46" t="n">
        <v>22</v>
      </c>
      <c r="F46" t="n">
        <v>0</v>
      </c>
      <c r="G46" t="n">
        <v>0.065</v>
      </c>
      <c r="H46" t="n">
        <v>1680</v>
      </c>
      <c r="I46" t="n">
        <v>0.024</v>
      </c>
      <c r="J46" t="n">
        <v>23400</v>
      </c>
      <c r="K46" t="n">
        <v>500</v>
      </c>
      <c r="L46" t="n">
        <v>0.6012</v>
      </c>
      <c r="P46" t="inlineStr">
        <is>
          <t>2019</t>
        </is>
      </c>
      <c r="Q46" t="inlineStr">
        <is>
          <t>2020</t>
        </is>
      </c>
      <c r="R46" t="inlineStr">
        <is>
          <t>2022,2023,2024</t>
        </is>
      </c>
      <c r="T46" t="n">
        <v>6</v>
      </c>
      <c r="U46" t="n">
        <v>0.506</v>
      </c>
      <c r="V46" t="n">
        <v>0.594</v>
      </c>
      <c r="W46" t="n">
        <v>0.174</v>
      </c>
    </row>
    <row r="47">
      <c r="A47" t="inlineStr">
        <is>
          <t>Subaru Forester</t>
        </is>
      </c>
      <c r="B47" t="inlineStr">
        <is>
          <t>Subaru</t>
        </is>
      </c>
      <c r="C47" t="inlineStr">
        <is>
          <t>Forester</t>
        </is>
      </c>
      <c r="D47" t="n">
        <v>200200</v>
      </c>
      <c r="E47" t="n">
        <v>29</v>
      </c>
      <c r="F47" t="n">
        <v>0</v>
      </c>
      <c r="G47" t="n">
        <v>0.065</v>
      </c>
      <c r="H47" t="n">
        <v>1680</v>
      </c>
      <c r="I47" t="n">
        <v>0.024</v>
      </c>
      <c r="J47" t="n">
        <v>22200</v>
      </c>
      <c r="K47" t="n">
        <v>500</v>
      </c>
      <c r="L47" t="n">
        <v>0.5165999999999999</v>
      </c>
      <c r="P47" t="inlineStr">
        <is>
          <t>2011,2012,2013,2014,2015,2016</t>
        </is>
      </c>
      <c r="Q47" t="inlineStr"/>
      <c r="R47" t="inlineStr">
        <is>
          <t>2019,2020,2021,2022</t>
        </is>
      </c>
      <c r="T47" t="n">
        <v>4</v>
      </c>
      <c r="U47" t="n">
        <v>0.439</v>
      </c>
      <c r="V47" t="n">
        <v>0.523</v>
      </c>
      <c r="W47" t="n">
        <v>0.173</v>
      </c>
    </row>
    <row r="48">
      <c r="A48" t="inlineStr">
        <is>
          <t>Subaru Outback</t>
        </is>
      </c>
      <c r="B48" t="inlineStr">
        <is>
          <t>Subaru</t>
        </is>
      </c>
      <c r="C48" t="inlineStr">
        <is>
          <t>Outback</t>
        </is>
      </c>
      <c r="D48" t="n">
        <v>210600</v>
      </c>
      <c r="E48" t="n">
        <v>29</v>
      </c>
      <c r="F48" t="n">
        <v>0</v>
      </c>
      <c r="G48" t="n">
        <v>0.065</v>
      </c>
      <c r="H48" t="n">
        <v>1640</v>
      </c>
      <c r="I48" t="n">
        <v>0.024</v>
      </c>
      <c r="J48" t="n">
        <v>18800</v>
      </c>
      <c r="K48" t="n">
        <v>500</v>
      </c>
      <c r="L48" t="n">
        <v>0.5071</v>
      </c>
      <c r="P48" t="inlineStr">
        <is>
          <t>2010,2011,2012,2013,2014,2015</t>
        </is>
      </c>
      <c r="Q48" t="inlineStr"/>
      <c r="R48" t="inlineStr">
        <is>
          <t>2020,2021,2022</t>
        </is>
      </c>
      <c r="T48" t="n">
        <v>4</v>
      </c>
      <c r="U48" t="n">
        <v>0.432</v>
      </c>
      <c r="V48" t="n">
        <v>0.538</v>
      </c>
      <c r="W48" t="n">
        <v>0.142</v>
      </c>
    </row>
    <row r="49">
      <c r="A49" t="inlineStr">
        <is>
          <t>Tesla Model 3</t>
        </is>
      </c>
      <c r="B49" t="inlineStr">
        <is>
          <t>Tesla</t>
        </is>
      </c>
      <c r="C49" t="inlineStr">
        <is>
          <t>Model 3</t>
        </is>
      </c>
      <c r="D49" t="n">
        <v>230100</v>
      </c>
      <c r="E49" t="n">
        <v>0</v>
      </c>
      <c r="F49" t="n">
        <v>25.9</v>
      </c>
      <c r="G49" t="n">
        <v>0.065</v>
      </c>
      <c r="H49" t="n">
        <v>2480</v>
      </c>
      <c r="I49" t="n">
        <v>0.03</v>
      </c>
      <c r="J49" t="n">
        <v>21500</v>
      </c>
      <c r="K49" t="n">
        <v>600</v>
      </c>
      <c r="L49" t="n">
        <v>0.4184</v>
      </c>
      <c r="P49" t="inlineStr"/>
      <c r="Q49" t="inlineStr">
        <is>
          <t>2018</t>
        </is>
      </c>
      <c r="R49" t="inlineStr">
        <is>
          <t>2019,2020,2021,2022,2023</t>
        </is>
      </c>
      <c r="T49" t="n">
        <v>3</v>
      </c>
      <c r="U49" t="n">
        <v>0.367</v>
      </c>
      <c r="V49" t="n">
        <v>0.503</v>
      </c>
      <c r="W49" t="n">
        <v>0.18</v>
      </c>
    </row>
    <row r="50">
      <c r="A50" t="inlineStr">
        <is>
          <t>Toyota 4Runner</t>
        </is>
      </c>
      <c r="B50" t="inlineStr">
        <is>
          <t>Toyota</t>
        </is>
      </c>
      <c r="C50" t="inlineStr">
        <is>
          <t>4Runner</t>
        </is>
      </c>
      <c r="D50" t="n">
        <v>289900</v>
      </c>
      <c r="E50" t="n">
        <v>17</v>
      </c>
      <c r="F50" t="n">
        <v>0</v>
      </c>
      <c r="G50" t="n">
        <v>0.045</v>
      </c>
      <c r="H50" t="n">
        <v>1800</v>
      </c>
      <c r="I50" t="n">
        <v>0.024</v>
      </c>
      <c r="J50" t="n">
        <v>36333</v>
      </c>
      <c r="K50" t="n">
        <v>500</v>
      </c>
      <c r="L50" t="n">
        <v>0.6482</v>
      </c>
      <c r="P50" t="inlineStr"/>
      <c r="Q50" t="inlineStr"/>
      <c r="R50" t="inlineStr">
        <is>
          <t>2010,2011,2012,2013,2014,2015,2016,2017,2018,2019,2020,2021,2022,2023,2024</t>
        </is>
      </c>
      <c r="T50" t="n">
        <v>5</v>
      </c>
      <c r="U50" t="n">
        <v>0.473</v>
      </c>
      <c r="V50" t="n">
        <v>0.57</v>
      </c>
      <c r="W50" t="n">
        <v>0.365</v>
      </c>
    </row>
    <row r="51">
      <c r="A51" t="inlineStr">
        <is>
          <t>Toyota Camry</t>
        </is>
      </c>
      <c r="B51" t="inlineStr">
        <is>
          <t>Toyota</t>
        </is>
      </c>
      <c r="C51" t="inlineStr">
        <is>
          <t>Camry</t>
        </is>
      </c>
      <c r="D51" t="n">
        <v>254800</v>
      </c>
      <c r="E51" t="n">
        <v>30</v>
      </c>
      <c r="F51" t="n">
        <v>0</v>
      </c>
      <c r="G51" t="n">
        <v>0.045</v>
      </c>
      <c r="H51" t="n">
        <v>1840</v>
      </c>
      <c r="I51" t="n">
        <v>0.018</v>
      </c>
      <c r="J51" t="n">
        <v>22400</v>
      </c>
      <c r="K51" t="n">
        <v>400</v>
      </c>
      <c r="L51" t="n">
        <v>0.4535</v>
      </c>
      <c r="P51" t="inlineStr">
        <is>
          <t>2007,2008,2009</t>
        </is>
      </c>
      <c r="Q51" t="inlineStr">
        <is>
          <t>2018</t>
        </is>
      </c>
      <c r="R51" t="inlineStr">
        <is>
          <t>2015,2016,2017,2020,2021,2022</t>
        </is>
      </c>
      <c r="T51" t="n">
        <v>2</v>
      </c>
      <c r="U51" t="n">
        <v>0.363</v>
      </c>
      <c r="V51" t="n">
        <v>0.436</v>
      </c>
      <c r="W51" t="n">
        <v>0.205</v>
      </c>
    </row>
    <row r="52">
      <c r="A52" t="inlineStr">
        <is>
          <t>Toyota Camry Hybrid</t>
        </is>
      </c>
      <c r="B52" t="inlineStr">
        <is>
          <t>Toyota</t>
        </is>
      </c>
      <c r="C52" t="inlineStr">
        <is>
          <t>Camry Hybrid</t>
        </is>
      </c>
      <c r="D52" t="n">
        <v>249600</v>
      </c>
      <c r="E52" t="n">
        <v>42</v>
      </c>
      <c r="F52" t="n">
        <v>0</v>
      </c>
      <c r="G52" t="n">
        <v>0.045</v>
      </c>
      <c r="H52" t="n">
        <v>1920</v>
      </c>
      <c r="I52" t="n">
        <v>0.018</v>
      </c>
      <c r="J52" t="n">
        <v>16500</v>
      </c>
      <c r="K52" t="n">
        <v>400</v>
      </c>
      <c r="L52" t="n">
        <v>0.392</v>
      </c>
      <c r="P52" t="inlineStr">
        <is>
          <t>2007,2008,2009</t>
        </is>
      </c>
      <c r="Q52" t="inlineStr">
        <is>
          <t>2018</t>
        </is>
      </c>
      <c r="R52" t="inlineStr">
        <is>
          <t>2013,2014,2020,2021,2022</t>
        </is>
      </c>
      <c r="T52" t="n">
        <v>2</v>
      </c>
      <c r="U52" t="n">
        <v>0.335</v>
      </c>
      <c r="V52" t="n">
        <v>0.411</v>
      </c>
      <c r="W52" t="n">
        <v>0.138</v>
      </c>
    </row>
    <row r="53">
      <c r="A53" t="inlineStr">
        <is>
          <t>Toyota Corolla</t>
        </is>
      </c>
      <c r="B53" t="inlineStr">
        <is>
          <t>Toyota</t>
        </is>
      </c>
      <c r="C53" t="inlineStr">
        <is>
          <t>Corolla</t>
        </is>
      </c>
      <c r="D53" t="n">
        <v>249600</v>
      </c>
      <c r="E53" t="n">
        <v>31</v>
      </c>
      <c r="F53" t="n">
        <v>0</v>
      </c>
      <c r="G53" t="n">
        <v>0.045</v>
      </c>
      <c r="H53" t="n">
        <v>1920</v>
      </c>
      <c r="I53" t="n">
        <v>0.018</v>
      </c>
      <c r="J53" t="n">
        <v>17659</v>
      </c>
      <c r="K53" t="n">
        <v>400</v>
      </c>
      <c r="L53" t="n">
        <v>0.4278</v>
      </c>
      <c r="P53" t="inlineStr"/>
      <c r="Q53" t="inlineStr">
        <is>
          <t>2009,2010,2014,2020,2023</t>
        </is>
      </c>
      <c r="R53" t="inlineStr">
        <is>
          <t>2016,2017,2018,2019,2021,2022</t>
        </is>
      </c>
      <c r="T53" t="n">
        <v>2</v>
      </c>
      <c r="U53" t="n">
        <v>0.339</v>
      </c>
      <c r="V53" t="n">
        <v>0.402</v>
      </c>
      <c r="W53" t="n">
        <v>0.159</v>
      </c>
    </row>
    <row r="54">
      <c r="A54" t="inlineStr">
        <is>
          <t>Toyota Highlander</t>
        </is>
      </c>
      <c r="B54" t="inlineStr">
        <is>
          <t>Toyota</t>
        </is>
      </c>
      <c r="C54" t="inlineStr">
        <is>
          <t>Highlander</t>
        </is>
      </c>
      <c r="D54" t="n">
        <v>244400</v>
      </c>
      <c r="E54" t="n">
        <v>23</v>
      </c>
      <c r="F54" t="n">
        <v>0</v>
      </c>
      <c r="G54" t="n">
        <v>0.045</v>
      </c>
      <c r="H54" t="n">
        <v>1760</v>
      </c>
      <c r="I54" t="n">
        <v>0.024</v>
      </c>
      <c r="J54" t="n">
        <v>25000</v>
      </c>
      <c r="K54" t="n">
        <v>500</v>
      </c>
      <c r="L54" t="n">
        <v>0.5604</v>
      </c>
      <c r="P54" t="inlineStr"/>
      <c r="Q54" t="inlineStr">
        <is>
          <t>2015,2020</t>
        </is>
      </c>
      <c r="R54" t="inlineStr">
        <is>
          <t>2013,2014,2017,2018,2019,2021,2022</t>
        </is>
      </c>
      <c r="T54" t="n">
        <v>5</v>
      </c>
      <c r="U54" t="n">
        <v>0.467</v>
      </c>
      <c r="V54" t="n">
        <v>0.571</v>
      </c>
      <c r="W54" t="n">
        <v>0.203</v>
      </c>
    </row>
    <row r="55">
      <c r="A55" t="inlineStr">
        <is>
          <t>Toyota Highlander Hybrid</t>
        </is>
      </c>
      <c r="B55" t="inlineStr">
        <is>
          <t>Toyota</t>
        </is>
      </c>
      <c r="C55" t="inlineStr">
        <is>
          <t>Highlander Hybrid</t>
        </is>
      </c>
      <c r="D55" t="n">
        <v>244400</v>
      </c>
      <c r="E55" t="n">
        <v>35</v>
      </c>
      <c r="F55" t="n">
        <v>0</v>
      </c>
      <c r="G55" t="n">
        <v>0.045</v>
      </c>
      <c r="H55" t="n">
        <v>1840</v>
      </c>
      <c r="I55" t="n">
        <v>0.024</v>
      </c>
      <c r="J55" t="n">
        <v>32000</v>
      </c>
      <c r="K55" t="n">
        <v>500</v>
      </c>
      <c r="L55" t="n">
        <v>0.4996</v>
      </c>
      <c r="P55" t="inlineStr"/>
      <c r="Q55" t="inlineStr">
        <is>
          <t>2015,2020</t>
        </is>
      </c>
      <c r="R55" t="inlineStr">
        <is>
          <t>2013,2014,2017,2018,2019,2021,2022</t>
        </is>
      </c>
      <c r="T55" t="n">
        <v>4</v>
      </c>
      <c r="U55" t="n">
        <v>0.425</v>
      </c>
      <c r="V55" t="n">
        <v>0.524</v>
      </c>
      <c r="W55" t="n">
        <v>0.275</v>
      </c>
    </row>
    <row r="56">
      <c r="A56" t="inlineStr">
        <is>
          <t>Toyota Prius (hybrid)</t>
        </is>
      </c>
      <c r="B56" t="inlineStr">
        <is>
          <t>Toyota</t>
        </is>
      </c>
      <c r="C56" t="inlineStr">
        <is>
          <t>Prius (hybrid)</t>
        </is>
      </c>
      <c r="D56" t="n">
        <v>249600</v>
      </c>
      <c r="E56" t="n">
        <v>50</v>
      </c>
      <c r="F56" t="n">
        <v>0</v>
      </c>
      <c r="G56" t="n">
        <v>0.045</v>
      </c>
      <c r="H56" t="n">
        <v>1800</v>
      </c>
      <c r="I56" t="n">
        <v>0.018</v>
      </c>
      <c r="J56" t="n">
        <v>26000</v>
      </c>
      <c r="K56" t="n">
        <v>400</v>
      </c>
      <c r="L56" t="n">
        <v>0.3916</v>
      </c>
      <c r="P56" t="inlineStr"/>
      <c r="Q56" t="inlineStr">
        <is>
          <t>2010,2011,2016</t>
        </is>
      </c>
      <c r="R56" t="inlineStr">
        <is>
          <t>2013,2014,2015,2018,2019</t>
        </is>
      </c>
      <c r="T56" t="n">
        <v>1</v>
      </c>
      <c r="U56" t="n">
        <v>0.321</v>
      </c>
      <c r="V56" t="n">
        <v>0.387</v>
      </c>
      <c r="W56" t="n">
        <v>0.245</v>
      </c>
    </row>
    <row r="57">
      <c r="A57" t="inlineStr">
        <is>
          <t>Toyota Prius Prime</t>
        </is>
      </c>
      <c r="B57" t="inlineStr">
        <is>
          <t>Toyota</t>
        </is>
      </c>
      <c r="C57" t="inlineStr">
        <is>
          <t>Prius Prime</t>
        </is>
      </c>
      <c r="D57" t="n">
        <v>235300</v>
      </c>
      <c r="E57" t="n">
        <v>120</v>
      </c>
      <c r="F57" t="n">
        <v>14.4</v>
      </c>
      <c r="G57" t="n">
        <v>0.045</v>
      </c>
      <c r="H57" t="n">
        <v>1920</v>
      </c>
      <c r="I57" t="n">
        <v>0.024</v>
      </c>
      <c r="J57" t="n">
        <v>15000</v>
      </c>
      <c r="K57" t="n">
        <v>600</v>
      </c>
      <c r="L57" t="n">
        <v>0.3641</v>
      </c>
      <c r="P57" t="inlineStr"/>
      <c r="Q57" t="inlineStr">
        <is>
          <t>2017</t>
        </is>
      </c>
      <c r="R57" t="inlineStr">
        <is>
          <t>2018,2019,2020,2021,2022</t>
        </is>
      </c>
      <c r="T57" t="n">
        <v>2</v>
      </c>
      <c r="U57" t="n">
        <v>0.33</v>
      </c>
      <c r="V57" t="n">
        <v>0.415</v>
      </c>
      <c r="W57" t="n">
        <v>0.117</v>
      </c>
    </row>
    <row r="58">
      <c r="A58" t="inlineStr">
        <is>
          <t>Toyota RAV4</t>
        </is>
      </c>
      <c r="B58" t="inlineStr">
        <is>
          <t>Toyota</t>
        </is>
      </c>
      <c r="C58" t="inlineStr">
        <is>
          <t>RAV4</t>
        </is>
      </c>
      <c r="D58" t="n">
        <v>240500</v>
      </c>
      <c r="E58" t="n">
        <v>28</v>
      </c>
      <c r="F58" t="n">
        <v>0</v>
      </c>
      <c r="G58" t="n">
        <v>0.045</v>
      </c>
      <c r="H58" t="n">
        <v>1720</v>
      </c>
      <c r="I58" t="n">
        <v>0.022</v>
      </c>
      <c r="J58" t="n">
        <v>20600</v>
      </c>
      <c r="K58" t="n">
        <v>450</v>
      </c>
      <c r="L58" t="n">
        <v>0.4881</v>
      </c>
      <c r="P58" t="inlineStr">
        <is>
          <t>2013,2014,2015</t>
        </is>
      </c>
      <c r="Q58" t="inlineStr">
        <is>
          <t>2019</t>
        </is>
      </c>
      <c r="R58" t="inlineStr">
        <is>
          <t>2016,2017,2018,2021,2022</t>
        </is>
      </c>
      <c r="T58" t="n">
        <v>3</v>
      </c>
      <c r="U58" t="n">
        <v>0.396</v>
      </c>
      <c r="V58" t="n">
        <v>0.477</v>
      </c>
      <c r="W58" t="n">
        <v>0.168</v>
      </c>
    </row>
    <row r="59">
      <c r="A59" t="inlineStr">
        <is>
          <t>Toyota RAV4 Hybrid</t>
        </is>
      </c>
      <c r="B59" t="inlineStr">
        <is>
          <t>Toyota</t>
        </is>
      </c>
      <c r="C59" t="inlineStr">
        <is>
          <t>RAV4 Hybrid</t>
        </is>
      </c>
      <c r="D59" t="n">
        <v>244400</v>
      </c>
      <c r="E59" t="n">
        <v>40</v>
      </c>
      <c r="F59" t="n">
        <v>0</v>
      </c>
      <c r="G59" t="n">
        <v>0.045</v>
      </c>
      <c r="H59" t="n">
        <v>1800</v>
      </c>
      <c r="I59" t="n">
        <v>0.024</v>
      </c>
      <c r="J59" t="n">
        <v>30444</v>
      </c>
      <c r="K59" t="n">
        <v>500</v>
      </c>
      <c r="L59" t="n">
        <v>0.4486</v>
      </c>
      <c r="P59" t="inlineStr"/>
      <c r="Q59" t="inlineStr">
        <is>
          <t>2019</t>
        </is>
      </c>
      <c r="R59" t="inlineStr">
        <is>
          <t>2017,2018,2021,2022</t>
        </is>
      </c>
      <c r="T59" t="n">
        <v>2</v>
      </c>
      <c r="U59" t="n">
        <v>0.359</v>
      </c>
      <c r="V59" t="n">
        <v>0.437</v>
      </c>
      <c r="W59" t="n">
        <v>0.283</v>
      </c>
    </row>
    <row r="60">
      <c r="A60" t="inlineStr">
        <is>
          <t>Toyota RAV4 Prime</t>
        </is>
      </c>
      <c r="B60" t="inlineStr">
        <is>
          <t>Toyota</t>
        </is>
      </c>
      <c r="C60" t="inlineStr">
        <is>
          <t>RAV4 Prime</t>
        </is>
      </c>
      <c r="D60" t="n">
        <v>235300</v>
      </c>
      <c r="E60" t="n">
        <v>152</v>
      </c>
      <c r="F60" t="n">
        <v>28.4</v>
      </c>
      <c r="G60" t="n">
        <v>0.045</v>
      </c>
      <c r="H60" t="n">
        <v>1760</v>
      </c>
      <c r="I60" t="n">
        <v>0.026</v>
      </c>
      <c r="J60" t="n">
        <v>35000</v>
      </c>
      <c r="K60" t="n">
        <v>800</v>
      </c>
      <c r="L60" t="n">
        <v>0.4817</v>
      </c>
      <c r="P60" t="inlineStr"/>
      <c r="Q60" t="inlineStr">
        <is>
          <t>2021</t>
        </is>
      </c>
      <c r="R60" t="inlineStr">
        <is>
          <t>2022,2023</t>
        </is>
      </c>
      <c r="T60" t="n">
        <v>3</v>
      </c>
      <c r="U60" t="n">
        <v>0.402</v>
      </c>
      <c r="V60" t="n">
        <v>0.484</v>
      </c>
      <c r="W60" t="n">
        <v>0.302</v>
      </c>
    </row>
    <row r="61">
      <c r="A61" t="inlineStr">
        <is>
          <t>Toyota Sequoia</t>
        </is>
      </c>
      <c r="B61" t="inlineStr">
        <is>
          <t>Toyota</t>
        </is>
      </c>
      <c r="C61" t="inlineStr">
        <is>
          <t>Sequoia</t>
        </is>
      </c>
      <c r="D61" t="n">
        <v>300300</v>
      </c>
      <c r="E61" t="n">
        <v>15</v>
      </c>
      <c r="F61" t="n">
        <v>0</v>
      </c>
      <c r="G61" t="n">
        <v>0.045</v>
      </c>
      <c r="H61" t="n">
        <v>1960</v>
      </c>
      <c r="I61" t="n">
        <v>0.024</v>
      </c>
      <c r="J61" t="n">
        <v>32250</v>
      </c>
      <c r="K61" t="n">
        <v>500</v>
      </c>
      <c r="L61" t="n">
        <v>0.6875</v>
      </c>
      <c r="P61" t="inlineStr"/>
      <c r="Q61" t="inlineStr">
        <is>
          <t>2008</t>
        </is>
      </c>
      <c r="R61" t="inlineStr">
        <is>
          <t>2010,2011,2012,2013,2014,2015,2016,2017,2018,2019,2020,2021,2022</t>
        </is>
      </c>
      <c r="T61" t="n">
        <v>6</v>
      </c>
      <c r="U61" t="n">
        <v>0.508</v>
      </c>
      <c r="V61" t="n">
        <v>0.613</v>
      </c>
      <c r="W61" t="n">
        <v>0.314</v>
      </c>
    </row>
    <row r="62">
      <c r="A62" t="inlineStr">
        <is>
          <t>Toyota Sienna (V6)</t>
        </is>
      </c>
      <c r="B62" t="inlineStr">
        <is>
          <t>Toyota</t>
        </is>
      </c>
      <c r="C62" t="inlineStr">
        <is>
          <t>Sienna (V6)</t>
        </is>
      </c>
      <c r="D62" t="n">
        <v>244400</v>
      </c>
      <c r="E62" t="n">
        <v>19</v>
      </c>
      <c r="F62" t="n">
        <v>0</v>
      </c>
      <c r="G62" t="n">
        <v>0.045</v>
      </c>
      <c r="H62" t="n">
        <v>1720</v>
      </c>
      <c r="I62" t="n">
        <v>0.02</v>
      </c>
      <c r="J62" t="n">
        <v>22333</v>
      </c>
      <c r="K62" t="n">
        <v>500</v>
      </c>
      <c r="L62" t="n">
        <v>0.5733</v>
      </c>
      <c r="P62" t="inlineStr"/>
      <c r="Q62" t="inlineStr">
        <is>
          <t>2011,2017</t>
        </is>
      </c>
      <c r="R62" t="inlineStr">
        <is>
          <t>2015,2016</t>
        </is>
      </c>
      <c r="T62" t="n">
        <v>5</v>
      </c>
      <c r="U62" t="n">
        <v>0.457</v>
      </c>
      <c r="V62" t="n">
        <v>0.533</v>
      </c>
      <c r="W62" t="n">
        <v>0.192</v>
      </c>
    </row>
    <row r="63">
      <c r="A63" t="inlineStr">
        <is>
          <t>Toyota Sienna Hybrid</t>
        </is>
      </c>
      <c r="B63" t="inlineStr">
        <is>
          <t>Toyota</t>
        </is>
      </c>
      <c r="C63" t="inlineStr">
        <is>
          <t>Sienna Hybrid</t>
        </is>
      </c>
      <c r="D63" t="n">
        <v>244400</v>
      </c>
      <c r="E63" t="n">
        <v>36</v>
      </c>
      <c r="F63" t="n">
        <v>0</v>
      </c>
      <c r="G63" t="n">
        <v>0.045</v>
      </c>
      <c r="H63" t="n">
        <v>1840</v>
      </c>
      <c r="I63" t="n">
        <v>0.02</v>
      </c>
      <c r="J63" t="n">
        <v>35000</v>
      </c>
      <c r="K63" t="n">
        <v>500</v>
      </c>
      <c r="L63" t="n">
        <v>0.4961</v>
      </c>
      <c r="P63" t="inlineStr"/>
      <c r="Q63" t="inlineStr"/>
      <c r="R63" t="inlineStr">
        <is>
          <t>2021,2022,2023,2024,2025</t>
        </is>
      </c>
      <c r="T63" t="n">
        <v>4</v>
      </c>
      <c r="U63" t="n">
        <v>0.416</v>
      </c>
      <c r="V63" t="n">
        <v>0.525</v>
      </c>
      <c r="W63" t="n">
        <v>0.31</v>
      </c>
    </row>
    <row r="64">
      <c r="A64" t="inlineStr">
        <is>
          <t>Toyota Tacoma</t>
        </is>
      </c>
      <c r="B64" t="inlineStr">
        <is>
          <t>Toyota</t>
        </is>
      </c>
      <c r="C64" t="inlineStr">
        <is>
          <t>Tacoma</t>
        </is>
      </c>
      <c r="D64" t="n">
        <v>289900</v>
      </c>
      <c r="E64" t="n">
        <v>20</v>
      </c>
      <c r="F64" t="n">
        <v>0</v>
      </c>
      <c r="G64" t="n">
        <v>0.045</v>
      </c>
      <c r="H64" t="n">
        <v>1800</v>
      </c>
      <c r="I64" t="n">
        <v>0.03</v>
      </c>
      <c r="J64" t="n">
        <v>29333</v>
      </c>
      <c r="K64" t="n">
        <v>800</v>
      </c>
      <c r="L64" t="n">
        <v>0.5852000000000001</v>
      </c>
      <c r="P64" t="inlineStr"/>
      <c r="Q64" t="inlineStr">
        <is>
          <t>2016</t>
        </is>
      </c>
      <c r="R64" t="inlineStr">
        <is>
          <t>2012,2013,2014,2015,2018,2019,2020,2021,2022</t>
        </is>
      </c>
      <c r="T64" t="n">
        <v>4</v>
      </c>
      <c r="U64" t="n">
        <v>0.44</v>
      </c>
      <c r="V64" t="n">
        <v>0.531</v>
      </c>
      <c r="W64" t="n">
        <v>0.281</v>
      </c>
    </row>
    <row r="65">
      <c r="A65" t="inlineStr">
        <is>
          <t>VW Atlas</t>
        </is>
      </c>
      <c r="B65" t="inlineStr">
        <is>
          <t>VW</t>
        </is>
      </c>
      <c r="C65" t="inlineStr">
        <is>
          <t>Atlas</t>
        </is>
      </c>
      <c r="D65" t="n">
        <v>189800</v>
      </c>
      <c r="E65" t="n">
        <v>21</v>
      </c>
      <c r="F65" t="n">
        <v>0</v>
      </c>
      <c r="G65" t="n">
        <v>0.065</v>
      </c>
      <c r="H65" t="n">
        <v>1760</v>
      </c>
      <c r="I65" t="n">
        <v>0.024</v>
      </c>
      <c r="J65" t="n">
        <v>21000</v>
      </c>
      <c r="K65" t="n">
        <v>500</v>
      </c>
      <c r="L65" t="n">
        <v>0.6058</v>
      </c>
      <c r="P65" t="inlineStr"/>
      <c r="Q65" t="inlineStr">
        <is>
          <t>2018,2019</t>
        </is>
      </c>
      <c r="R65" t="inlineStr">
        <is>
          <t>2021,2022,2023</t>
        </is>
      </c>
      <c r="T65" t="n">
        <v>6</v>
      </c>
      <c r="U65" t="n">
        <v>0.543</v>
      </c>
      <c r="V65" t="n">
        <v>0.656</v>
      </c>
      <c r="W65" t="n">
        <v>0.154</v>
      </c>
    </row>
    <row r="66">
      <c r="A66" t="inlineStr">
        <is>
          <t>VW GTI</t>
        </is>
      </c>
      <c r="B66" t="inlineStr">
        <is>
          <t>VW</t>
        </is>
      </c>
      <c r="C66" t="inlineStr">
        <is>
          <t>GTI</t>
        </is>
      </c>
      <c r="D66" t="n">
        <v>195000</v>
      </c>
      <c r="E66" t="n">
        <v>27</v>
      </c>
      <c r="F66" t="n">
        <v>0</v>
      </c>
      <c r="G66" t="n">
        <v>0.065</v>
      </c>
      <c r="H66" t="n">
        <v>1720</v>
      </c>
      <c r="I66" t="n">
        <v>0.018</v>
      </c>
      <c r="J66" t="n">
        <v>19000</v>
      </c>
      <c r="K66" t="n">
        <v>400</v>
      </c>
      <c r="L66" t="n">
        <v>0.5183</v>
      </c>
      <c r="P66" t="inlineStr">
        <is>
          <t>2010,2011,2012</t>
        </is>
      </c>
      <c r="Q66" t="inlineStr">
        <is>
          <t>2015</t>
        </is>
      </c>
      <c r="R66" t="inlineStr">
        <is>
          <t>2016,2017,2018,2019</t>
        </is>
      </c>
      <c r="T66" t="n">
        <v>5</v>
      </c>
      <c r="U66" t="n">
        <v>0.464</v>
      </c>
      <c r="V66" t="n">
        <v>0.574</v>
      </c>
      <c r="W66" t="n">
        <v>0.143</v>
      </c>
    </row>
    <row r="67">
      <c r="A67" t="inlineStr">
        <is>
          <t>VW ID.4 (AWD avail)</t>
        </is>
      </c>
      <c r="B67" t="inlineStr">
        <is>
          <t>VW</t>
        </is>
      </c>
      <c r="C67" t="inlineStr">
        <is>
          <t>ID.4 (AWD avail)</t>
        </is>
      </c>
      <c r="D67" t="n">
        <v>195000</v>
      </c>
      <c r="E67" t="n">
        <v>0</v>
      </c>
      <c r="F67" t="n">
        <v>36.7</v>
      </c>
      <c r="G67" t="n">
        <v>0.08500000000000001</v>
      </c>
      <c r="H67" t="n">
        <v>1920</v>
      </c>
      <c r="I67" t="n">
        <v>0.03</v>
      </c>
      <c r="J67" t="n">
        <v>22500</v>
      </c>
      <c r="K67" t="n">
        <v>700</v>
      </c>
      <c r="L67" t="n">
        <v>0.4721</v>
      </c>
      <c r="P67" t="inlineStr"/>
      <c r="Q67" t="inlineStr">
        <is>
          <t>2021,2022</t>
        </is>
      </c>
      <c r="R67" t="inlineStr">
        <is>
          <t>2023,2024</t>
        </is>
      </c>
      <c r="T67" t="n">
        <v>3</v>
      </c>
      <c r="U67" t="n">
        <v>0.389</v>
      </c>
      <c r="V67" t="n">
        <v>0.529</v>
      </c>
      <c r="W67" t="n">
        <v>0.177</v>
      </c>
    </row>
    <row r="68">
      <c r="A68" t="inlineStr">
        <is>
          <t>VW Passat</t>
        </is>
      </c>
      <c r="B68" t="inlineStr">
        <is>
          <t>VW</t>
        </is>
      </c>
      <c r="C68" t="inlineStr">
        <is>
          <t>Passat</t>
        </is>
      </c>
      <c r="D68" t="n">
        <v>189800</v>
      </c>
      <c r="E68" t="n">
        <v>28</v>
      </c>
      <c r="F68" t="n">
        <v>0</v>
      </c>
      <c r="G68" t="n">
        <v>0.065</v>
      </c>
      <c r="H68" t="n">
        <v>1720</v>
      </c>
      <c r="I68" t="n">
        <v>0.018</v>
      </c>
      <c r="J68" t="n">
        <v>14200</v>
      </c>
      <c r="K68" t="n">
        <v>400</v>
      </c>
      <c r="L68" t="n">
        <v>0.4733</v>
      </c>
      <c r="P68" t="inlineStr"/>
      <c r="Q68" t="inlineStr">
        <is>
          <t>2012</t>
        </is>
      </c>
      <c r="R68" t="inlineStr">
        <is>
          <t>2016,2017,2018,2019</t>
        </is>
      </c>
      <c r="T68" t="n">
        <v>4</v>
      </c>
      <c r="U68" t="n">
        <v>0.412</v>
      </c>
      <c r="V68" t="n">
        <v>0.507</v>
      </c>
      <c r="W68" t="n">
        <v>0.107</v>
      </c>
    </row>
    <row r="69">
      <c r="A69" t="inlineStr">
        <is>
          <t>VW Tiguan</t>
        </is>
      </c>
      <c r="B69" t="inlineStr">
        <is>
          <t>VW</t>
        </is>
      </c>
      <c r="C69" t="inlineStr">
        <is>
          <t>Tiguan</t>
        </is>
      </c>
      <c r="D69" t="n">
        <v>184600</v>
      </c>
      <c r="E69" t="n">
        <v>24</v>
      </c>
      <c r="F69" t="n">
        <v>0</v>
      </c>
      <c r="G69" t="n">
        <v>0.065</v>
      </c>
      <c r="H69" t="n">
        <v>1680</v>
      </c>
      <c r="I69" t="n">
        <v>0.024</v>
      </c>
      <c r="J69" t="n">
        <v>16800</v>
      </c>
      <c r="K69" t="n">
        <v>500</v>
      </c>
      <c r="L69" t="n">
        <v>0.5362</v>
      </c>
      <c r="P69" t="inlineStr">
        <is>
          <t>2009,2010,2011</t>
        </is>
      </c>
      <c r="Q69" t="inlineStr">
        <is>
          <t>2018</t>
        </is>
      </c>
      <c r="R69" t="inlineStr">
        <is>
          <t>2019,2020,2021,2022</t>
        </is>
      </c>
      <c r="T69" t="n">
        <v>5</v>
      </c>
      <c r="U69" t="n">
        <v>0.482</v>
      </c>
      <c r="V69" t="n">
        <v>0.59</v>
      </c>
      <c r="W69" t="n">
        <v>0.123</v>
      </c>
    </row>
    <row r="70">
      <c r="A70" t="inlineStr">
        <is>
          <t>Volvo V90 Cross Country</t>
        </is>
      </c>
      <c r="B70" t="inlineStr">
        <is>
          <t>Volvo</t>
        </is>
      </c>
      <c r="C70" t="inlineStr">
        <is>
          <t>V90 Cross Country</t>
        </is>
      </c>
      <c r="D70" t="n">
        <v>200200</v>
      </c>
      <c r="E70" t="n">
        <v>25</v>
      </c>
      <c r="F70" t="n">
        <v>0</v>
      </c>
      <c r="G70" t="n">
        <v>0.065</v>
      </c>
      <c r="H70" t="n">
        <v>1880</v>
      </c>
      <c r="I70" t="n">
        <v>0.024</v>
      </c>
      <c r="J70" t="n">
        <v>29800</v>
      </c>
      <c r="K70" t="n">
        <v>500</v>
      </c>
      <c r="L70" t="n">
        <v>0.6215000000000001</v>
      </c>
      <c r="P70" t="inlineStr"/>
      <c r="Q70" t="inlineStr">
        <is>
          <t>2017</t>
        </is>
      </c>
      <c r="R70" t="inlineStr">
        <is>
          <t>2019,2020,2021,2022</t>
        </is>
      </c>
      <c r="T70" t="n">
        <v>7</v>
      </c>
      <c r="U70" t="n">
        <v>0.584</v>
      </c>
      <c r="V70" t="n">
        <v>0.715</v>
      </c>
      <c r="W70" t="n">
        <v>0.225</v>
      </c>
    </row>
    <row r="71">
      <c r="A71" t="inlineStr">
        <is>
          <t>Volvo XC60</t>
        </is>
      </c>
      <c r="B71" t="inlineStr">
        <is>
          <t>Volvo</t>
        </is>
      </c>
      <c r="C71" t="inlineStr">
        <is>
          <t>XC60</t>
        </is>
      </c>
      <c r="D71" t="n">
        <v>200200</v>
      </c>
      <c r="E71" t="n">
        <v>23</v>
      </c>
      <c r="F71" t="n">
        <v>0</v>
      </c>
      <c r="G71" t="n">
        <v>0.065</v>
      </c>
      <c r="H71" t="n">
        <v>1880</v>
      </c>
      <c r="I71" t="n">
        <v>0.024</v>
      </c>
      <c r="J71" t="n">
        <v>25200</v>
      </c>
      <c r="K71" t="n">
        <v>500</v>
      </c>
      <c r="L71" t="n">
        <v>0.6065</v>
      </c>
      <c r="P71" t="inlineStr"/>
      <c r="Q71" t="inlineStr">
        <is>
          <t>2018</t>
        </is>
      </c>
      <c r="R71" t="inlineStr">
        <is>
          <t>2020,2021,2022</t>
        </is>
      </c>
      <c r="T71" t="n">
        <v>7</v>
      </c>
      <c r="U71" t="n">
        <v>0.5659999999999999</v>
      </c>
      <c r="V71" t="n">
        <v>0.6899999999999999</v>
      </c>
      <c r="W71" t="n">
        <v>0.19</v>
      </c>
    </row>
    <row r="72">
      <c r="A72" t="inlineStr">
        <is>
          <t>Volvo XC90</t>
        </is>
      </c>
      <c r="B72" t="inlineStr">
        <is>
          <t>Volvo</t>
        </is>
      </c>
      <c r="C72" t="inlineStr">
        <is>
          <t>XC90</t>
        </is>
      </c>
      <c r="D72" t="n">
        <v>195000</v>
      </c>
      <c r="E72" t="n">
        <v>22</v>
      </c>
      <c r="F72" t="n">
        <v>0</v>
      </c>
      <c r="G72" t="n">
        <v>0.08500000000000001</v>
      </c>
      <c r="H72" t="n">
        <v>1920</v>
      </c>
      <c r="I72" t="n">
        <v>0.024</v>
      </c>
      <c r="J72" t="n">
        <v>30000</v>
      </c>
      <c r="K72" t="n">
        <v>500</v>
      </c>
      <c r="L72" t="n">
        <v>0.6937</v>
      </c>
      <c r="P72" t="inlineStr">
        <is>
          <t>2016</t>
        </is>
      </c>
      <c r="Q72" t="inlineStr">
        <is>
          <t>2017</t>
        </is>
      </c>
      <c r="R72" t="inlineStr">
        <is>
          <t>2019,2020,2021,2022</t>
        </is>
      </c>
      <c r="T72" t="n">
        <v>8</v>
      </c>
      <c r="U72" t="n">
        <v>0.635</v>
      </c>
      <c r="V72" t="n">
        <v>0.8110000000000001</v>
      </c>
      <c r="W72" t="n">
        <v>0.22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T76"/>
  <sheetViews>
    <sheetView workbookViewId="0">
      <selection activeCell="A1" sqref="A1"/>
    </sheetView>
  </sheetViews>
  <sheetFormatPr baseColWidth="8" defaultRowHeight="15"/>
  <cols>
    <col width="22" customWidth="1" min="1" max="1"/>
    <col width="7" customWidth="1" min="2" max="2"/>
    <col width="9"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c r="A1" s="5" t="inlineStr">
        <is>
          <t>PLOT DATA (helper) — backing table for the Plot tab. Edit the model on the Ranking tab, not here.</t>
        </is>
      </c>
    </row>
    <row r="4">
      <c r="D4" s="5" t="inlineStr">
        <is>
          <t>$ per mile</t>
        </is>
      </c>
      <c r="E4" s="5" t="inlineStr">
        <is>
          <t>$ per mile</t>
        </is>
      </c>
      <c r="F4" s="5" t="inlineStr">
        <is>
          <t>$ per mile</t>
        </is>
      </c>
      <c r="G4" s="5" t="inlineStr">
        <is>
          <t>$ per mile (P90−P50)</t>
        </is>
      </c>
      <c r="H4" s="5" t="inlineStr">
        <is>
          <t>$ per mile</t>
        </is>
      </c>
      <c r="I4" s="5" t="inlineStr">
        <is>
          <t>$ per mile</t>
        </is>
      </c>
      <c r="J4" s="5" t="inlineStr">
        <is>
          <t>$ per mile</t>
        </is>
      </c>
      <c r="K4" s="5" t="inlineStr">
        <is>
          <t>$ per mile</t>
        </is>
      </c>
      <c r="L4" s="5" t="inlineStr">
        <is>
          <t>$ per mile per +$1/gal</t>
        </is>
      </c>
      <c r="M4" s="5" t="inlineStr">
        <is>
          <t>dollars (total)</t>
        </is>
      </c>
      <c r="N4" s="5" t="inlineStr">
        <is>
          <t>dollars (total)</t>
        </is>
      </c>
      <c r="O4" s="5" t="inlineStr">
        <is>
          <t>$ per year</t>
        </is>
      </c>
      <c r="P4" s="5" t="inlineStr">
        <is>
          <t>$ per seat-mile</t>
        </is>
      </c>
      <c r="Q4" s="5" t="inlineStr">
        <is>
          <t>seats (count)</t>
        </is>
      </c>
      <c r="R4" s="5" t="inlineStr">
        <is>
          <t>cubic feet</t>
        </is>
      </c>
      <c r="S4" s="5" t="inlineStr">
        <is>
          <t>grams CO₂ per mile</t>
        </is>
      </c>
      <c r="U4" s="5" t="inlineStr">
        <is>
          <t>chart plumbing — one column per vehicle, feeds the Plot scatter. Do not edit, hide, or delete.</t>
        </is>
      </c>
    </row>
    <row r="5">
      <c r="A5" s="7" t="inlineStr">
        <is>
          <t>Vehicle</t>
        </is>
      </c>
      <c r="B5" s="7" t="inlineStr">
        <is>
          <t>fuel</t>
        </is>
      </c>
      <c r="C5" s="7" t="inlineStr">
        <is>
          <t>$/mi (x)</t>
        </is>
      </c>
      <c r="D5" s="7" t="inlineStr">
        <is>
          <t>P75 $/mi</t>
        </is>
      </c>
      <c r="E5" s="7" t="inlineStr">
        <is>
          <t>P90 $/mi (bad-luck)</t>
        </is>
      </c>
      <c r="F5" s="7" t="inlineStr">
        <is>
          <t>EOL=empirical $/mi</t>
        </is>
      </c>
      <c r="G5" s="7" t="inlineStr">
        <is>
          <t>Bad-luck spread (P90-P50)</t>
        </is>
      </c>
      <c r="H5" s="7" t="inlineStr">
        <is>
          <t>75k-mi (~5.8yr) $/mi</t>
        </is>
      </c>
      <c r="I5" s="7" t="inlineStr">
        <is>
          <t>v1 $/mi (old model)</t>
        </is>
      </c>
      <c r="J5" s="7" t="inlineStr">
        <is>
          <t>Energy $/mi</t>
        </is>
      </c>
      <c r="K5" s="7" t="inlineStr">
        <is>
          <t>Non-energy $/mi</t>
        </is>
      </c>
      <c r="L5" s="7" t="inlineStr">
        <is>
          <t>+$1/gal → Δ$/mi</t>
        </is>
      </c>
      <c r="M5" s="7" t="inlineStr">
        <is>
          <t>Purchase $</t>
        </is>
      </c>
      <c r="N5" s="7" t="inlineStr">
        <is>
          <t>Up-front capital $</t>
        </is>
      </c>
      <c r="O5" s="7" t="inlineStr">
        <is>
          <t>Insurance $/yr</t>
        </is>
      </c>
      <c r="P5" s="7" t="inlineStr">
        <is>
          <t>$ per seat-mile</t>
        </is>
      </c>
      <c r="Q5" s="7" t="inlineStr">
        <is>
          <t>Seats</t>
        </is>
      </c>
      <c r="R5" s="7" t="inlineStr">
        <is>
          <t>Max cargo (cu ft)</t>
        </is>
      </c>
      <c r="S5" s="7" t="inlineStr">
        <is>
          <t>CO2 g/mi</t>
        </is>
      </c>
      <c r="T5" s="7" t="inlineStr">
        <is>
          <t>Y (selected)</t>
        </is>
      </c>
      <c r="U5" t="inlineStr">
        <is>
          <t>Chevy Bolt EV</t>
        </is>
      </c>
      <c r="V5" t="inlineStr">
        <is>
          <t>Chevy Volt</t>
        </is>
      </c>
      <c r="W5" t="inlineStr">
        <is>
          <t>Toyota Prius (hybrid)</t>
        </is>
      </c>
      <c r="X5" t="inlineStr">
        <is>
          <t>Toyota Prius Prime</t>
        </is>
      </c>
      <c r="Y5" t="inlineStr">
        <is>
          <t>Toyota Corolla</t>
        </is>
      </c>
      <c r="Z5" t="inlineStr">
        <is>
          <t>Toyota Camry Hybrid</t>
        </is>
      </c>
      <c r="AA5" t="inlineStr">
        <is>
          <t>Honda Civic</t>
        </is>
      </c>
      <c r="AB5" t="inlineStr">
        <is>
          <t>Nissan Leaf</t>
        </is>
      </c>
      <c r="AC5" t="inlineStr">
        <is>
          <t>Hyundai Elantra</t>
        </is>
      </c>
      <c r="AD5" t="inlineStr">
        <is>
          <t>Honda Accord</t>
        </is>
      </c>
      <c r="AE5" t="inlineStr">
        <is>
          <t>Kia K4</t>
        </is>
      </c>
      <c r="AF5" t="inlineStr">
        <is>
          <t>Mazda3 (SkyActiv)</t>
        </is>
      </c>
      <c r="AG5" t="inlineStr">
        <is>
          <t>Toyota Camry</t>
        </is>
      </c>
      <c r="AH5" t="inlineStr">
        <is>
          <t>Toyota RAV4 Hybrid</t>
        </is>
      </c>
      <c r="AI5" t="inlineStr">
        <is>
          <t>Kia Niro (hybrid)</t>
        </is>
      </c>
      <c r="AJ5" t="inlineStr">
        <is>
          <t>Tesla Model 3</t>
        </is>
      </c>
      <c r="AK5" t="inlineStr">
        <is>
          <t>Hyundai Sonata</t>
        </is>
      </c>
      <c r="AL5" t="inlineStr">
        <is>
          <t>Toyota RAV4</t>
        </is>
      </c>
      <c r="AM5" t="inlineStr">
        <is>
          <t>Fiat 500</t>
        </is>
      </c>
      <c r="AN5" t="inlineStr">
        <is>
          <t>Honda CR-V</t>
        </is>
      </c>
      <c r="AO5" t="inlineStr">
        <is>
          <t>VW ID.4 (AWD avail)</t>
        </is>
      </c>
      <c r="AP5" t="inlineStr">
        <is>
          <t>Toyota RAV4 Prime</t>
        </is>
      </c>
      <c r="AQ5" t="inlineStr">
        <is>
          <t>Kia Soul</t>
        </is>
      </c>
      <c r="AR5" t="inlineStr">
        <is>
          <t>VW Passat</t>
        </is>
      </c>
      <c r="AS5" t="inlineStr">
        <is>
          <t>Buick Encore</t>
        </is>
      </c>
      <c r="AT5" t="inlineStr">
        <is>
          <t>Hyundai Kona</t>
        </is>
      </c>
      <c r="AU5" t="inlineStr">
        <is>
          <t>Mazda CX-5</t>
        </is>
      </c>
      <c r="AV5" t="inlineStr">
        <is>
          <t>Toyota Highlander Hybrid</t>
        </is>
      </c>
      <c r="AW5" t="inlineStr">
        <is>
          <t>Subaru Outback</t>
        </is>
      </c>
      <c r="AX5" t="inlineStr">
        <is>
          <t>Subaru Forester</t>
        </is>
      </c>
      <c r="AY5" t="inlineStr">
        <is>
          <t>Toyota Sienna Hybrid</t>
        </is>
      </c>
      <c r="AZ5" t="inlineStr">
        <is>
          <t>Toyota Tacoma</t>
        </is>
      </c>
      <c r="BA5" t="inlineStr">
        <is>
          <t>Nissan Rogue</t>
        </is>
      </c>
      <c r="BB5" t="inlineStr">
        <is>
          <t>Chevy Equinox</t>
        </is>
      </c>
      <c r="BC5" t="inlineStr">
        <is>
          <t>Toyota Sienna (V6)</t>
        </is>
      </c>
      <c r="BD5" t="inlineStr">
        <is>
          <t>Mini Cooper</t>
        </is>
      </c>
      <c r="BE5" t="inlineStr">
        <is>
          <t>Ford Ranger (old compact)</t>
        </is>
      </c>
      <c r="BF5" t="inlineStr">
        <is>
          <t>Fiat 500X</t>
        </is>
      </c>
      <c r="BG5" t="inlineStr">
        <is>
          <t>VW GTI</t>
        </is>
      </c>
      <c r="BH5" t="inlineStr">
        <is>
          <t>Kia Sportage</t>
        </is>
      </c>
      <c r="BI5" t="inlineStr">
        <is>
          <t>Ford Escape</t>
        </is>
      </c>
      <c r="BJ5" t="inlineStr">
        <is>
          <t>Toyota Highlander</t>
        </is>
      </c>
      <c r="BK5" t="inlineStr">
        <is>
          <t>Hyundai Tucson</t>
        </is>
      </c>
      <c r="BL5" t="inlineStr">
        <is>
          <t>Toyota 4Runner</t>
        </is>
      </c>
      <c r="BM5" t="inlineStr">
        <is>
          <t>Honda Odyssey</t>
        </is>
      </c>
      <c r="BN5" t="inlineStr">
        <is>
          <t>Kia Sorento</t>
        </is>
      </c>
      <c r="BO5" t="inlineStr">
        <is>
          <t>Hyundai Santa Fe</t>
        </is>
      </c>
      <c r="BP5" t="inlineStr">
        <is>
          <t>VW Tiguan</t>
        </is>
      </c>
      <c r="BQ5" t="inlineStr">
        <is>
          <t>Chrysler Pacifica PHEV</t>
        </is>
      </c>
      <c r="BR5" t="inlineStr">
        <is>
          <t>Subaru Ascent</t>
        </is>
      </c>
      <c r="BS5" t="inlineStr">
        <is>
          <t>Ford Ranger (2019+ midsize)</t>
        </is>
      </c>
      <c r="BT5" t="inlineStr">
        <is>
          <t>Honda Pilot</t>
        </is>
      </c>
      <c r="BU5" t="inlineStr">
        <is>
          <t>Mini Countryman</t>
        </is>
      </c>
      <c r="BV5" t="inlineStr">
        <is>
          <t>Toyota Sequoia</t>
        </is>
      </c>
      <c r="BW5" t="inlineStr">
        <is>
          <t>Hyundai Palisade</t>
        </is>
      </c>
      <c r="BX5" t="inlineStr">
        <is>
          <t>Chrysler Pacifica</t>
        </is>
      </c>
      <c r="BY5" t="inlineStr">
        <is>
          <t>Chevy Colorado</t>
        </is>
      </c>
      <c r="BZ5" t="inlineStr">
        <is>
          <t>Kia Telluride</t>
        </is>
      </c>
      <c r="CA5" t="inlineStr">
        <is>
          <t>Mazda CX-90</t>
        </is>
      </c>
      <c r="CB5" t="inlineStr">
        <is>
          <t>Chevy Traverse</t>
        </is>
      </c>
      <c r="CC5" t="inlineStr">
        <is>
          <t>VW Atlas</t>
        </is>
      </c>
      <c r="CD5" t="inlineStr">
        <is>
          <t>Ford Explorer</t>
        </is>
      </c>
      <c r="CE5" t="inlineStr">
        <is>
          <t>Buick Enclave</t>
        </is>
      </c>
      <c r="CF5" t="inlineStr">
        <is>
          <t>Volvo XC60</t>
        </is>
      </c>
      <c r="CG5" t="inlineStr">
        <is>
          <t>Chevy Tahoe</t>
        </is>
      </c>
      <c r="CH5" t="inlineStr">
        <is>
          <t>Jeep Grand Cherokee L</t>
        </is>
      </c>
      <c r="CI5" t="inlineStr">
        <is>
          <t>Volvo V90 Cross Country</t>
        </is>
      </c>
      <c r="CJ5" t="inlineStr">
        <is>
          <t>Chevy Suburban</t>
        </is>
      </c>
      <c r="CK5" t="inlineStr">
        <is>
          <t>Volvo XC90</t>
        </is>
      </c>
      <c r="CL5" t="inlineStr">
        <is>
          <t>Porsche 996 Carrera</t>
        </is>
      </c>
      <c r="CM5" t="inlineStr">
        <is>
          <t>Porsche 996 Turbo</t>
        </is>
      </c>
      <c r="CO5" t="inlineStr">
        <is>
          <t>sedan</t>
        </is>
      </c>
      <c r="CP5" t="inlineStr">
        <is>
          <t>hatch</t>
        </is>
      </c>
      <c r="CQ5" t="inlineStr">
        <is>
          <t>SUV</t>
        </is>
      </c>
      <c r="CR5" t="inlineStr">
        <is>
          <t>truck</t>
        </is>
      </c>
      <c r="CS5" t="inlineStr">
        <is>
          <t>van</t>
        </is>
      </c>
      <c r="CT5" t="inlineStr">
        <is>
          <t>sport</t>
        </is>
      </c>
    </row>
    <row r="6">
      <c r="A6" t="inlineStr">
        <is>
          <t>Chevy Bolt EV</t>
        </is>
      </c>
      <c r="B6" t="inlineStr">
        <is>
          <t>ev</t>
        </is>
      </c>
      <c r="C6" t="n">
        <v>0.315</v>
      </c>
      <c r="D6" t="n">
        <v>0.342</v>
      </c>
      <c r="E6" t="n">
        <v>0.372</v>
      </c>
      <c r="F6" t="n">
        <v>0.335</v>
      </c>
      <c r="G6" t="n">
        <v>0.056</v>
      </c>
      <c r="H6" t="n">
        <v>0.381</v>
      </c>
      <c r="I6" t="n">
        <v>0.338</v>
      </c>
      <c r="J6" t="n">
        <v>0.07199999999999999</v>
      </c>
      <c r="K6" t="n">
        <v>0.243</v>
      </c>
      <c r="L6" t="n">
        <v>0</v>
      </c>
      <c r="M6" t="n">
        <v>15643</v>
      </c>
      <c r="N6" t="n">
        <v>16738</v>
      </c>
      <c r="O6" t="n">
        <v>1660</v>
      </c>
      <c r="P6" t="n">
        <v>0.0631</v>
      </c>
      <c r="Q6" t="n">
        <v>5</v>
      </c>
      <c r="R6" t="n">
        <v>57</v>
      </c>
      <c r="S6" t="n">
        <v>76</v>
      </c>
      <c r="T6">
        <f>IFERROR(INDEX($D6:$S6,1,MATCH(Plot!$B$3,$D$5:$S$5,0)),NA())</f>
        <v/>
      </c>
      <c r="U6">
        <f>$T$6</f>
        <v/>
      </c>
      <c r="CP6">
        <f>$T$6</f>
        <v/>
      </c>
    </row>
    <row r="7">
      <c r="A7" t="inlineStr">
        <is>
          <t>Chevy Volt</t>
        </is>
      </c>
      <c r="B7" t="inlineStr">
        <is>
          <t>phev</t>
        </is>
      </c>
      <c r="C7" t="n">
        <v>0.335</v>
      </c>
      <c r="D7" t="n">
        <v>0.353</v>
      </c>
      <c r="E7" t="n">
        <v>0.37</v>
      </c>
      <c r="F7" t="n">
        <v>0.359</v>
      </c>
      <c r="G7" t="n">
        <v>0.035</v>
      </c>
      <c r="H7" t="n">
        <v>0.387</v>
      </c>
      <c r="I7" t="n">
        <v>0.35</v>
      </c>
      <c r="J7" t="n">
        <v>0.08</v>
      </c>
      <c r="K7" t="n">
        <v>0.255</v>
      </c>
      <c r="L7" t="n">
        <v>0.003</v>
      </c>
      <c r="M7" t="n">
        <v>15143</v>
      </c>
      <c r="N7" t="n">
        <v>16203</v>
      </c>
      <c r="O7" t="n">
        <v>1440</v>
      </c>
      <c r="P7" t="n">
        <v>0.06710000000000001</v>
      </c>
      <c r="Q7" t="n">
        <v>5</v>
      </c>
      <c r="R7" t="n">
        <v>30</v>
      </c>
      <c r="S7" t="n">
        <v>107</v>
      </c>
      <c r="T7">
        <f>IFERROR(INDEX($D7:$S7,1,MATCH(Plot!$B$3,$D$5:$S$5,0)),NA())</f>
        <v/>
      </c>
      <c r="V7">
        <f>$T$7</f>
        <v/>
      </c>
      <c r="CP7">
        <f>$T$7</f>
        <v/>
      </c>
    </row>
    <row r="8">
      <c r="A8" t="inlineStr">
        <is>
          <t>Toyota Prius (hybrid)</t>
        </is>
      </c>
      <c r="B8" t="inlineStr">
        <is>
          <t>hybrid</t>
        </is>
      </c>
      <c r="C8" t="n">
        <v>0.353</v>
      </c>
      <c r="D8" t="n">
        <v>0.366</v>
      </c>
      <c r="E8" t="n">
        <v>0.378</v>
      </c>
      <c r="F8" t="n">
        <v>0.39</v>
      </c>
      <c r="G8" t="n">
        <v>0.025</v>
      </c>
      <c r="H8" t="n">
        <v>0.484</v>
      </c>
      <c r="I8" t="n">
        <v>0.348</v>
      </c>
      <c r="J8" t="n">
        <v>0.066</v>
      </c>
      <c r="K8" t="n">
        <v>0.287</v>
      </c>
      <c r="L8" t="n">
        <v>0.012</v>
      </c>
      <c r="M8" t="n">
        <v>26000</v>
      </c>
      <c r="N8" t="n">
        <v>27820</v>
      </c>
      <c r="O8" t="n">
        <v>1800</v>
      </c>
      <c r="P8" t="n">
        <v>0.0706</v>
      </c>
      <c r="Q8" t="n">
        <v>5</v>
      </c>
      <c r="R8" t="n">
        <v>50</v>
      </c>
      <c r="S8" t="n">
        <v>178</v>
      </c>
      <c r="T8">
        <f>IFERROR(INDEX($D8:$S8,1,MATCH(Plot!$B$3,$D$5:$S$5,0)),NA())</f>
        <v/>
      </c>
      <c r="W8">
        <f>$T$8</f>
        <v/>
      </c>
      <c r="CP8">
        <f>$T$8</f>
        <v/>
      </c>
    </row>
    <row r="9">
      <c r="A9" t="inlineStr">
        <is>
          <t>Toyota Prius Prime</t>
        </is>
      </c>
      <c r="B9" t="inlineStr">
        <is>
          <t>phev</t>
        </is>
      </c>
      <c r="C9" t="n">
        <v>0.364</v>
      </c>
      <c r="D9" t="n">
        <v>0.382</v>
      </c>
      <c r="E9" t="n">
        <v>0.402</v>
      </c>
      <c r="F9" t="n">
        <v>0.402</v>
      </c>
      <c r="G9" t="n">
        <v>0.038</v>
      </c>
      <c r="H9" t="n">
        <v>0.431</v>
      </c>
      <c r="I9" t="n">
        <v>0.37</v>
      </c>
      <c r="J9" t="n">
        <v>0.066</v>
      </c>
      <c r="K9" t="n">
        <v>0.298</v>
      </c>
      <c r="L9" t="n">
        <v>0.006</v>
      </c>
      <c r="M9" t="n">
        <v>15000</v>
      </c>
      <c r="N9" t="n">
        <v>16050</v>
      </c>
      <c r="O9" t="n">
        <v>1920</v>
      </c>
      <c r="P9" t="n">
        <v>0.0728</v>
      </c>
      <c r="Q9" t="n">
        <v>5</v>
      </c>
      <c r="R9" t="n">
        <v>20</v>
      </c>
      <c r="S9" t="n">
        <v>110</v>
      </c>
      <c r="T9">
        <f>IFERROR(INDEX($D9:$S9,1,MATCH(Plot!$B$3,$D$5:$S$5,0)),NA())</f>
        <v/>
      </c>
      <c r="X9">
        <f>$T$9</f>
        <v/>
      </c>
      <c r="CP9">
        <f>$T$9</f>
        <v/>
      </c>
    </row>
    <row r="10">
      <c r="A10" t="inlineStr">
        <is>
          <t>Toyota Corolla</t>
        </is>
      </c>
      <c r="B10" t="inlineStr">
        <is>
          <t>gas</t>
        </is>
      </c>
      <c r="C10" t="n">
        <v>0.368</v>
      </c>
      <c r="D10" t="n">
        <v>0.381</v>
      </c>
      <c r="E10" t="n">
        <v>0.393</v>
      </c>
      <c r="F10" t="n">
        <v>0.397</v>
      </c>
      <c r="G10" t="n">
        <v>0.025</v>
      </c>
      <c r="H10" t="n">
        <v>0.472</v>
      </c>
      <c r="I10" t="n">
        <v>0.364</v>
      </c>
      <c r="J10" t="n">
        <v>0.111</v>
      </c>
      <c r="K10" t="n">
        <v>0.258</v>
      </c>
      <c r="L10" t="n">
        <v>0.02</v>
      </c>
      <c r="M10" t="n">
        <v>17659</v>
      </c>
      <c r="N10" t="n">
        <v>18895</v>
      </c>
      <c r="O10" t="n">
        <v>1920</v>
      </c>
      <c r="P10" t="n">
        <v>0.0737</v>
      </c>
      <c r="Q10" t="n">
        <v>5</v>
      </c>
      <c r="R10" t="n">
        <v>13</v>
      </c>
      <c r="S10" t="n">
        <v>287</v>
      </c>
      <c r="T10">
        <f>IFERROR(INDEX($D10:$S10,1,MATCH(Plot!$B$3,$D$5:$S$5,0)),NA())</f>
        <v/>
      </c>
      <c r="Y10">
        <f>$T$10</f>
        <v/>
      </c>
      <c r="CO10">
        <f>$T$10</f>
        <v/>
      </c>
    </row>
    <row r="11">
      <c r="A11" t="inlineStr">
        <is>
          <t>Toyota Camry Hybrid</t>
        </is>
      </c>
      <c r="B11" t="inlineStr">
        <is>
          <t>hybrid</t>
        </is>
      </c>
      <c r="C11" t="n">
        <v>0.368</v>
      </c>
      <c r="D11" t="n">
        <v>0.384</v>
      </c>
      <c r="E11" t="n">
        <v>0.4</v>
      </c>
      <c r="F11" t="n">
        <v>0.402</v>
      </c>
      <c r="G11" t="n">
        <v>0.032</v>
      </c>
      <c r="H11" t="n">
        <v>0.45</v>
      </c>
      <c r="I11" t="n">
        <v>0.367</v>
      </c>
      <c r="J11" t="n">
        <v>0.08599999999999999</v>
      </c>
      <c r="K11" t="n">
        <v>0.282</v>
      </c>
      <c r="L11" t="n">
        <v>0.016</v>
      </c>
      <c r="M11" t="n">
        <v>16500</v>
      </c>
      <c r="N11" t="n">
        <v>17655</v>
      </c>
      <c r="O11" t="n">
        <v>1920</v>
      </c>
      <c r="P11" t="n">
        <v>0.0737</v>
      </c>
      <c r="Q11" t="n">
        <v>5</v>
      </c>
      <c r="R11" t="n">
        <v>15</v>
      </c>
      <c r="S11" t="n">
        <v>212</v>
      </c>
      <c r="T11">
        <f>IFERROR(INDEX($D11:$S11,1,MATCH(Plot!$B$3,$D$5:$S$5,0)),NA())</f>
        <v/>
      </c>
      <c r="Z11">
        <f>$T$11</f>
        <v/>
      </c>
      <c r="CO11">
        <f>$T$11</f>
        <v/>
      </c>
    </row>
    <row r="12">
      <c r="A12" t="inlineStr">
        <is>
          <t>Honda Civic</t>
        </is>
      </c>
      <c r="B12" t="inlineStr">
        <is>
          <t>gas</t>
        </is>
      </c>
      <c r="C12" t="n">
        <v>0.385</v>
      </c>
      <c r="D12" t="n">
        <v>0.397</v>
      </c>
      <c r="E12" t="n">
        <v>0.409</v>
      </c>
      <c r="F12" t="n">
        <v>0.42</v>
      </c>
      <c r="G12" t="n">
        <v>0.024</v>
      </c>
      <c r="H12" t="n">
        <v>0.509</v>
      </c>
      <c r="I12" t="n">
        <v>0.38</v>
      </c>
      <c r="J12" t="n">
        <v>0.106</v>
      </c>
      <c r="K12" t="n">
        <v>0.279</v>
      </c>
      <c r="L12" t="n">
        <v>0.019</v>
      </c>
      <c r="M12" t="n">
        <v>23789</v>
      </c>
      <c r="N12" t="n">
        <v>25455</v>
      </c>
      <c r="O12" t="n">
        <v>1840</v>
      </c>
      <c r="P12" t="n">
        <v>0.077</v>
      </c>
      <c r="Q12" t="n">
        <v>5</v>
      </c>
      <c r="R12" t="n">
        <v>15</v>
      </c>
      <c r="S12" t="n">
        <v>278</v>
      </c>
      <c r="T12">
        <f>IFERROR(INDEX($D12:$S12,1,MATCH(Plot!$B$3,$D$5:$S$5,0)),NA())</f>
        <v/>
      </c>
      <c r="AA12">
        <f>$T$12</f>
        <v/>
      </c>
      <c r="CO12">
        <f>$T$12</f>
        <v/>
      </c>
    </row>
    <row r="13">
      <c r="A13" t="inlineStr">
        <is>
          <t>Nissan Leaf</t>
        </is>
      </c>
      <c r="B13" t="inlineStr">
        <is>
          <t>ev</t>
        </is>
      </c>
      <c r="C13" t="n">
        <v>0.386</v>
      </c>
      <c r="D13" t="n">
        <v>0.422</v>
      </c>
      <c r="E13" t="n">
        <v>0.453</v>
      </c>
      <c r="F13" t="n">
        <v>0.42</v>
      </c>
      <c r="G13" t="n">
        <v>0.067</v>
      </c>
      <c r="H13" t="n">
        <v>0.403</v>
      </c>
      <c r="I13" t="n">
        <v>0.419</v>
      </c>
      <c r="J13" t="n">
        <v>0.089</v>
      </c>
      <c r="K13" t="n">
        <v>0.297</v>
      </c>
      <c r="L13" t="n">
        <v>0</v>
      </c>
      <c r="M13" t="n">
        <v>11667</v>
      </c>
      <c r="N13" t="n">
        <v>12483</v>
      </c>
      <c r="O13" t="n">
        <v>1760</v>
      </c>
      <c r="P13" t="n">
        <v>0.0771</v>
      </c>
      <c r="Q13" t="n">
        <v>5</v>
      </c>
      <c r="R13" t="n">
        <v>30</v>
      </c>
      <c r="S13" t="n">
        <v>81</v>
      </c>
      <c r="T13">
        <f>IFERROR(INDEX($D13:$S13,1,MATCH(Plot!$B$3,$D$5:$S$5,0)),NA())</f>
        <v/>
      </c>
      <c r="AB13">
        <f>$T$13</f>
        <v/>
      </c>
      <c r="CP13">
        <f>$T$13</f>
        <v/>
      </c>
    </row>
    <row r="14">
      <c r="A14" t="inlineStr">
        <is>
          <t>Hyundai Elantra</t>
        </is>
      </c>
      <c r="B14" t="inlineStr">
        <is>
          <t>gas</t>
        </is>
      </c>
      <c r="C14" t="n">
        <v>0.39</v>
      </c>
      <c r="D14" t="n">
        <v>0.406</v>
      </c>
      <c r="E14" t="n">
        <v>0.422</v>
      </c>
      <c r="F14" t="n">
        <v>0.419</v>
      </c>
      <c r="G14" t="n">
        <v>0.033</v>
      </c>
      <c r="H14" t="n">
        <v>0.466</v>
      </c>
      <c r="I14" t="n">
        <v>0.385</v>
      </c>
      <c r="J14" t="n">
        <v>0.107</v>
      </c>
      <c r="K14" t="n">
        <v>0.283</v>
      </c>
      <c r="L14" t="n">
        <v>0.02</v>
      </c>
      <c r="M14" t="n">
        <v>16000</v>
      </c>
      <c r="N14" t="n">
        <v>17120</v>
      </c>
      <c r="O14" t="n">
        <v>1640</v>
      </c>
      <c r="P14" t="n">
        <v>0.078</v>
      </c>
      <c r="Q14" t="n">
        <v>5</v>
      </c>
      <c r="R14" t="n">
        <v>14</v>
      </c>
      <c r="S14" t="n">
        <v>254</v>
      </c>
      <c r="T14">
        <f>IFERROR(INDEX($D14:$S14,1,MATCH(Plot!$B$3,$D$5:$S$5,0)),NA())</f>
        <v/>
      </c>
      <c r="AC14">
        <f>$T$14</f>
        <v/>
      </c>
      <c r="CO14">
        <f>$T$14</f>
        <v/>
      </c>
    </row>
    <row r="15">
      <c r="A15" t="inlineStr">
        <is>
          <t>Honda Accord</t>
        </is>
      </c>
      <c r="B15" t="inlineStr">
        <is>
          <t>gas</t>
        </is>
      </c>
      <c r="C15" t="n">
        <v>0.39</v>
      </c>
      <c r="D15" t="n">
        <v>0.404</v>
      </c>
      <c r="E15" t="n">
        <v>0.417</v>
      </c>
      <c r="F15" t="n">
        <v>0.421</v>
      </c>
      <c r="G15" t="n">
        <v>0.027</v>
      </c>
      <c r="H15" t="n">
        <v>0.478</v>
      </c>
      <c r="I15" t="n">
        <v>0.386</v>
      </c>
      <c r="J15" t="n">
        <v>0.117</v>
      </c>
      <c r="K15" t="n">
        <v>0.273</v>
      </c>
      <c r="L15" t="n">
        <v>0.021</v>
      </c>
      <c r="M15" t="n">
        <v>16143</v>
      </c>
      <c r="N15" t="n">
        <v>17273</v>
      </c>
      <c r="O15" t="n">
        <v>1840</v>
      </c>
      <c r="P15" t="n">
        <v>0.078</v>
      </c>
      <c r="Q15" t="n">
        <v>5</v>
      </c>
      <c r="R15" t="n">
        <v>17</v>
      </c>
      <c r="S15" t="n">
        <v>287</v>
      </c>
      <c r="T15">
        <f>IFERROR(INDEX($D15:$S15,1,MATCH(Plot!$B$3,$D$5:$S$5,0)),NA())</f>
        <v/>
      </c>
      <c r="AD15">
        <f>$T$15</f>
        <v/>
      </c>
      <c r="CO15">
        <f>$T$15</f>
        <v/>
      </c>
    </row>
    <row r="16">
      <c r="A16" t="inlineStr">
        <is>
          <t>Kia K4</t>
        </is>
      </c>
      <c r="B16" t="inlineStr">
        <is>
          <t>gas</t>
        </is>
      </c>
      <c r="C16" t="n">
        <v>0.396</v>
      </c>
      <c r="D16" t="n">
        <v>0.41</v>
      </c>
      <c r="E16" t="n">
        <v>0.425</v>
      </c>
      <c r="F16" t="n">
        <v>0.423</v>
      </c>
      <c r="G16" t="n">
        <v>0.029</v>
      </c>
      <c r="H16" t="n">
        <v>0.488</v>
      </c>
      <c r="I16" t="n">
        <v>0.391</v>
      </c>
      <c r="J16" t="n">
        <v>0.106</v>
      </c>
      <c r="K16" t="n">
        <v>0.29</v>
      </c>
      <c r="L16" t="n">
        <v>0.019</v>
      </c>
      <c r="M16" t="n">
        <v>20125</v>
      </c>
      <c r="N16" t="n">
        <v>21534</v>
      </c>
      <c r="O16" t="n">
        <v>1640</v>
      </c>
      <c r="P16" t="n">
        <v>0.07920000000000001</v>
      </c>
      <c r="Q16" t="n">
        <v>5</v>
      </c>
      <c r="R16" t="n">
        <v>15</v>
      </c>
      <c r="S16" t="n">
        <v>261</v>
      </c>
      <c r="T16">
        <f>IFERROR(INDEX($D16:$S16,1,MATCH(Plot!$B$3,$D$5:$S$5,0)),NA())</f>
        <v/>
      </c>
      <c r="AE16">
        <f>$T$16</f>
        <v/>
      </c>
      <c r="CO16">
        <f>$T$16</f>
        <v/>
      </c>
    </row>
    <row r="17">
      <c r="A17" t="inlineStr">
        <is>
          <t>Mazda3 (SkyActiv)</t>
        </is>
      </c>
      <c r="B17" t="inlineStr">
        <is>
          <t>gas</t>
        </is>
      </c>
      <c r="C17" t="n">
        <v>0.396</v>
      </c>
      <c r="D17" t="n">
        <v>0.414</v>
      </c>
      <c r="E17" t="n">
        <v>0.432</v>
      </c>
      <c r="F17" t="n">
        <v>0.441</v>
      </c>
      <c r="G17" t="n">
        <v>0.035</v>
      </c>
      <c r="H17" t="n">
        <v>0.491</v>
      </c>
      <c r="I17" t="n">
        <v>0.395</v>
      </c>
      <c r="J17" t="n">
        <v>0.127</v>
      </c>
      <c r="K17" t="n">
        <v>0.269</v>
      </c>
      <c r="L17" t="n">
        <v>0.023</v>
      </c>
      <c r="M17" t="n">
        <v>15000</v>
      </c>
      <c r="N17" t="n">
        <v>16050</v>
      </c>
      <c r="O17" t="n">
        <v>1720</v>
      </c>
      <c r="P17" t="n">
        <v>0.07920000000000001</v>
      </c>
      <c r="Q17" t="n">
        <v>5</v>
      </c>
      <c r="R17" t="n">
        <v>20</v>
      </c>
      <c r="S17" t="n">
        <v>296</v>
      </c>
      <c r="T17">
        <f>IFERROR(INDEX($D17:$S17,1,MATCH(Plot!$B$3,$D$5:$S$5,0)),NA())</f>
        <v/>
      </c>
      <c r="AF17">
        <f>$T$17</f>
        <v/>
      </c>
      <c r="CP17">
        <f>$T$17</f>
        <v/>
      </c>
    </row>
    <row r="18">
      <c r="A18" t="inlineStr">
        <is>
          <t>Toyota Camry</t>
        </is>
      </c>
      <c r="B18" t="inlineStr">
        <is>
          <t>gas</t>
        </is>
      </c>
      <c r="C18" t="n">
        <v>0.397</v>
      </c>
      <c r="D18" t="n">
        <v>0.41</v>
      </c>
      <c r="E18" t="n">
        <v>0.424</v>
      </c>
      <c r="F18" t="n">
        <v>0.435</v>
      </c>
      <c r="G18" t="n">
        <v>0.027</v>
      </c>
      <c r="H18" t="n">
        <v>0.535</v>
      </c>
      <c r="I18" t="n">
        <v>0.388</v>
      </c>
      <c r="J18" t="n">
        <v>0.113</v>
      </c>
      <c r="K18" t="n">
        <v>0.284</v>
      </c>
      <c r="L18" t="n">
        <v>0.021</v>
      </c>
      <c r="M18" t="n">
        <v>22400</v>
      </c>
      <c r="N18" t="n">
        <v>23968</v>
      </c>
      <c r="O18" t="n">
        <v>1840</v>
      </c>
      <c r="P18" t="n">
        <v>0.0794</v>
      </c>
      <c r="Q18" t="n">
        <v>5</v>
      </c>
      <c r="R18" t="n">
        <v>15</v>
      </c>
      <c r="S18" t="n">
        <v>296</v>
      </c>
      <c r="T18">
        <f>IFERROR(INDEX($D18:$S18,1,MATCH(Plot!$B$3,$D$5:$S$5,0)),NA())</f>
        <v/>
      </c>
      <c r="AG18">
        <f>$T$18</f>
        <v/>
      </c>
      <c r="CO18">
        <f>$T$18</f>
        <v/>
      </c>
    </row>
    <row r="19">
      <c r="A19" t="inlineStr">
        <is>
          <t>Toyota RAV4 Hybrid</t>
        </is>
      </c>
      <c r="B19" t="inlineStr">
        <is>
          <t>hybrid</t>
        </is>
      </c>
      <c r="C19" t="n">
        <v>0.398</v>
      </c>
      <c r="D19" t="n">
        <v>0.414</v>
      </c>
      <c r="E19" t="n">
        <v>0.428</v>
      </c>
      <c r="F19" t="n">
        <v>0.438</v>
      </c>
      <c r="G19" t="n">
        <v>0.029</v>
      </c>
      <c r="H19" t="n">
        <v>0.535</v>
      </c>
      <c r="I19" t="n">
        <v>0.395</v>
      </c>
      <c r="J19" t="n">
        <v>0.08400000000000001</v>
      </c>
      <c r="K19" t="n">
        <v>0.314</v>
      </c>
      <c r="L19" t="n">
        <v>0.015</v>
      </c>
      <c r="M19" t="n">
        <v>30444</v>
      </c>
      <c r="N19" t="n">
        <v>32576</v>
      </c>
      <c r="O19" t="n">
        <v>1800</v>
      </c>
      <c r="P19" t="n">
        <v>0.0796</v>
      </c>
      <c r="Q19" t="n">
        <v>5</v>
      </c>
      <c r="R19" t="n">
        <v>69</v>
      </c>
      <c r="S19" t="n">
        <v>222</v>
      </c>
      <c r="T19">
        <f>IFERROR(INDEX($D19:$S19,1,MATCH(Plot!$B$3,$D$5:$S$5,0)),NA())</f>
        <v/>
      </c>
      <c r="AH19">
        <f>$T$19</f>
        <v/>
      </c>
      <c r="CQ19">
        <f>$T$19</f>
        <v/>
      </c>
    </row>
    <row r="20">
      <c r="A20" t="inlineStr">
        <is>
          <t>Kia Niro (hybrid)</t>
        </is>
      </c>
      <c r="B20" t="inlineStr">
        <is>
          <t>hybrid</t>
        </is>
      </c>
      <c r="C20" t="n">
        <v>0.402</v>
      </c>
      <c r="D20" t="n">
        <v>0.422</v>
      </c>
      <c r="E20" t="n">
        <v>0.443</v>
      </c>
      <c r="F20" t="n">
        <v>0.438</v>
      </c>
      <c r="G20" t="n">
        <v>0.041</v>
      </c>
      <c r="H20" t="n">
        <v>0.47</v>
      </c>
      <c r="I20" t="n">
        <v>0.399</v>
      </c>
      <c r="J20" t="n">
        <v>0.079</v>
      </c>
      <c r="K20" t="n">
        <v>0.323</v>
      </c>
      <c r="L20" t="n">
        <v>0.014</v>
      </c>
      <c r="M20" t="n">
        <v>17000</v>
      </c>
      <c r="N20" t="n">
        <v>18190</v>
      </c>
      <c r="O20" t="n">
        <v>1680</v>
      </c>
      <c r="P20" t="n">
        <v>0.0804</v>
      </c>
      <c r="Q20" t="n">
        <v>5</v>
      </c>
      <c r="R20" t="n">
        <v>54</v>
      </c>
      <c r="S20" t="n">
        <v>181</v>
      </c>
      <c r="T20">
        <f>IFERROR(INDEX($D20:$S20,1,MATCH(Plot!$B$3,$D$5:$S$5,0)),NA())</f>
        <v/>
      </c>
      <c r="AI20">
        <f>$T$20</f>
        <v/>
      </c>
      <c r="CQ20">
        <f>$T$20</f>
        <v/>
      </c>
    </row>
    <row r="21">
      <c r="A21" t="inlineStr">
        <is>
          <t>Tesla Model 3</t>
        </is>
      </c>
      <c r="B21" t="inlineStr">
        <is>
          <t>ev</t>
        </is>
      </c>
      <c r="C21" t="n">
        <v>0.413</v>
      </c>
      <c r="D21" t="n">
        <v>0.443</v>
      </c>
      <c r="E21" t="n">
        <v>0.477</v>
      </c>
      <c r="F21" t="n">
        <v>0.448</v>
      </c>
      <c r="G21" t="n">
        <v>0.064</v>
      </c>
      <c r="H21" t="n">
        <v>0.512</v>
      </c>
      <c r="I21" t="n">
        <v>0.416</v>
      </c>
      <c r="J21" t="n">
        <v>0.06</v>
      </c>
      <c r="K21" t="n">
        <v>0.353</v>
      </c>
      <c r="L21" t="n">
        <v>0</v>
      </c>
      <c r="M21" t="n">
        <v>21500</v>
      </c>
      <c r="N21" t="n">
        <v>23005</v>
      </c>
      <c r="O21" t="n">
        <v>2480</v>
      </c>
      <c r="P21" t="n">
        <v>0.08260000000000001</v>
      </c>
      <c r="Q21" t="n">
        <v>5</v>
      </c>
      <c r="R21" t="n">
        <v>23</v>
      </c>
      <c r="S21" t="n">
        <v>65</v>
      </c>
      <c r="T21">
        <f>IFERROR(INDEX($D21:$S21,1,MATCH(Plot!$B$3,$D$5:$S$5,0)),NA())</f>
        <v/>
      </c>
      <c r="AJ21">
        <f>$T$21</f>
        <v/>
      </c>
      <c r="CO21">
        <f>$T$21</f>
        <v/>
      </c>
    </row>
    <row r="22">
      <c r="A22" t="inlineStr">
        <is>
          <t>Hyundai Sonata</t>
        </is>
      </c>
      <c r="B22" t="inlineStr">
        <is>
          <t>gas</t>
        </is>
      </c>
      <c r="C22" t="n">
        <v>0.422</v>
      </c>
      <c r="D22" t="n">
        <v>0.441</v>
      </c>
      <c r="E22" t="n">
        <v>0.461</v>
      </c>
      <c r="F22" t="n">
        <v>0.458</v>
      </c>
      <c r="G22" t="n">
        <v>0.038</v>
      </c>
      <c r="H22" t="n">
        <v>0.495</v>
      </c>
      <c r="I22" t="n">
        <v>0.423</v>
      </c>
      <c r="J22" t="n">
        <v>0.122</v>
      </c>
      <c r="K22" t="n">
        <v>0.3</v>
      </c>
      <c r="L22" t="n">
        <v>0.022</v>
      </c>
      <c r="M22" t="n">
        <v>15333</v>
      </c>
      <c r="N22" t="n">
        <v>16407</v>
      </c>
      <c r="O22" t="n">
        <v>1720</v>
      </c>
      <c r="P22" t="n">
        <v>0.08450000000000001</v>
      </c>
      <c r="Q22" t="n">
        <v>5</v>
      </c>
      <c r="R22" t="n">
        <v>16</v>
      </c>
      <c r="S22" t="n">
        <v>278</v>
      </c>
      <c r="T22">
        <f>IFERROR(INDEX($D22:$S22,1,MATCH(Plot!$B$3,$D$5:$S$5,0)),NA())</f>
        <v/>
      </c>
      <c r="AK22">
        <f>$T$22</f>
        <v/>
      </c>
      <c r="CO22">
        <f>$T$22</f>
        <v/>
      </c>
    </row>
    <row r="23">
      <c r="A23" t="inlineStr">
        <is>
          <t>Toyota RAV4</t>
        </is>
      </c>
      <c r="B23" t="inlineStr">
        <is>
          <t>gas</t>
        </is>
      </c>
      <c r="C23" t="n">
        <v>0.431</v>
      </c>
      <c r="D23" t="n">
        <v>0.447</v>
      </c>
      <c r="E23" t="n">
        <v>0.464</v>
      </c>
      <c r="F23" t="n">
        <v>0.468</v>
      </c>
      <c r="G23" t="n">
        <v>0.033</v>
      </c>
      <c r="H23" t="n">
        <v>0.526</v>
      </c>
      <c r="I23" t="n">
        <v>0.432</v>
      </c>
      <c r="J23" t="n">
        <v>0.132</v>
      </c>
      <c r="K23" t="n">
        <v>0.299</v>
      </c>
      <c r="L23" t="n">
        <v>0.024</v>
      </c>
      <c r="M23" t="n">
        <v>20600</v>
      </c>
      <c r="N23" t="n">
        <v>22042</v>
      </c>
      <c r="O23" t="n">
        <v>1720</v>
      </c>
      <c r="P23" t="n">
        <v>0.0862</v>
      </c>
      <c r="Q23" t="n">
        <v>5</v>
      </c>
      <c r="R23" t="n">
        <v>69</v>
      </c>
      <c r="S23" t="n">
        <v>317</v>
      </c>
      <c r="T23">
        <f>IFERROR(INDEX($D23:$S23,1,MATCH(Plot!$B$3,$D$5:$S$5,0)),NA())</f>
        <v/>
      </c>
      <c r="AL23">
        <f>$T$23</f>
        <v/>
      </c>
      <c r="CQ23">
        <f>$T$23</f>
        <v/>
      </c>
    </row>
    <row r="24">
      <c r="A24" t="inlineStr">
        <is>
          <t>Fiat 500</t>
        </is>
      </c>
      <c r="B24" t="inlineStr">
        <is>
          <t>gas</t>
        </is>
      </c>
      <c r="C24" t="n">
        <v>0.434</v>
      </c>
      <c r="D24" t="n">
        <v>0.454</v>
      </c>
      <c r="E24" t="n">
        <v>0.483</v>
      </c>
      <c r="F24" t="n">
        <v>0.451</v>
      </c>
      <c r="G24" t="n">
        <v>0.048</v>
      </c>
      <c r="H24" t="n">
        <v>0.469</v>
      </c>
      <c r="I24" t="n">
        <v>0.435</v>
      </c>
      <c r="J24" t="n">
        <v>0.123</v>
      </c>
      <c r="K24" t="n">
        <v>0.312</v>
      </c>
      <c r="L24" t="n">
        <v>0.023</v>
      </c>
      <c r="M24" t="n">
        <v>10200</v>
      </c>
      <c r="N24" t="n">
        <v>10914</v>
      </c>
      <c r="O24" t="n">
        <v>1600</v>
      </c>
      <c r="P24" t="n">
        <v>0.1086</v>
      </c>
      <c r="Q24" t="n">
        <v>4</v>
      </c>
      <c r="R24" t="n">
        <v>30</v>
      </c>
      <c r="S24" t="n">
        <v>269</v>
      </c>
      <c r="T24">
        <f>IFERROR(INDEX($D24:$S24,1,MATCH(Plot!$B$3,$D$5:$S$5,0)),NA())</f>
        <v/>
      </c>
      <c r="AM24">
        <f>$T$24</f>
        <v/>
      </c>
      <c r="CP24">
        <f>$T$24</f>
        <v/>
      </c>
    </row>
    <row r="25">
      <c r="A25" t="inlineStr">
        <is>
          <t>Honda CR-V</t>
        </is>
      </c>
      <c r="B25" t="inlineStr">
        <is>
          <t>gas</t>
        </is>
      </c>
      <c r="C25" t="n">
        <v>0.438</v>
      </c>
      <c r="D25" t="n">
        <v>0.454</v>
      </c>
      <c r="E25" t="n">
        <v>0.469</v>
      </c>
      <c r="F25" t="n">
        <v>0.473</v>
      </c>
      <c r="G25" t="n">
        <v>0.032</v>
      </c>
      <c r="H25" t="n">
        <v>0.541</v>
      </c>
      <c r="I25" t="n">
        <v>0.432</v>
      </c>
      <c r="J25" t="n">
        <v>0.131</v>
      </c>
      <c r="K25" t="n">
        <v>0.307</v>
      </c>
      <c r="L25" t="n">
        <v>0.024</v>
      </c>
      <c r="M25" t="n">
        <v>20500</v>
      </c>
      <c r="N25" t="n">
        <v>21935</v>
      </c>
      <c r="O25" t="n">
        <v>1680</v>
      </c>
      <c r="P25" t="n">
        <v>0.08749999999999999</v>
      </c>
      <c r="Q25" t="n">
        <v>5</v>
      </c>
      <c r="R25" t="n">
        <v>76</v>
      </c>
      <c r="S25" t="n">
        <v>317</v>
      </c>
      <c r="T25">
        <f>IFERROR(INDEX($D25:$S25,1,MATCH(Plot!$B$3,$D$5:$S$5,0)),NA())</f>
        <v/>
      </c>
      <c r="AN25">
        <f>$T$25</f>
        <v/>
      </c>
      <c r="CQ25">
        <f>$T$25</f>
        <v/>
      </c>
    </row>
    <row r="26">
      <c r="A26" t="inlineStr">
        <is>
          <t>VW ID.4 (AWD avail)</t>
        </is>
      </c>
      <c r="B26" t="inlineStr">
        <is>
          <t>ev</t>
        </is>
      </c>
      <c r="C26" t="n">
        <v>0.438</v>
      </c>
      <c r="D26" t="n">
        <v>0.47</v>
      </c>
      <c r="E26" t="n">
        <v>0.503</v>
      </c>
      <c r="F26" t="n">
        <v>0.464</v>
      </c>
      <c r="G26" t="n">
        <v>0.066</v>
      </c>
      <c r="H26" t="n">
        <v>0.508</v>
      </c>
      <c r="I26" t="n">
        <v>0.449</v>
      </c>
      <c r="J26" t="n">
        <v>0.089</v>
      </c>
      <c r="K26" t="n">
        <v>0.349</v>
      </c>
      <c r="L26" t="n">
        <v>0</v>
      </c>
      <c r="M26" t="n">
        <v>22500</v>
      </c>
      <c r="N26" t="n">
        <v>24075</v>
      </c>
      <c r="O26" t="n">
        <v>1920</v>
      </c>
      <c r="P26" t="n">
        <v>0.08749999999999999</v>
      </c>
      <c r="Q26" t="n">
        <v>5</v>
      </c>
      <c r="R26" t="n">
        <v>64</v>
      </c>
      <c r="S26" t="n">
        <v>92</v>
      </c>
      <c r="T26">
        <f>IFERROR(INDEX($D26:$S26,1,MATCH(Plot!$B$3,$D$5:$S$5,0)),NA())</f>
        <v/>
      </c>
      <c r="AO26">
        <f>$T$26</f>
        <v/>
      </c>
      <c r="CQ26">
        <f>$T$26</f>
        <v/>
      </c>
    </row>
    <row r="27">
      <c r="A27" t="inlineStr">
        <is>
          <t>Toyota RAV4 Prime</t>
        </is>
      </c>
      <c r="B27" t="inlineStr">
        <is>
          <t>phev</t>
        </is>
      </c>
      <c r="C27" t="n">
        <v>0.441</v>
      </c>
      <c r="D27" t="n">
        <v>0.457</v>
      </c>
      <c r="E27" t="n">
        <v>0.476</v>
      </c>
      <c r="F27" t="n">
        <v>0.486</v>
      </c>
      <c r="G27" t="n">
        <v>0.036</v>
      </c>
      <c r="H27" t="n">
        <v>0.5600000000000001</v>
      </c>
      <c r="I27" t="n">
        <v>0.45</v>
      </c>
      <c r="J27" t="n">
        <v>0.08599999999999999</v>
      </c>
      <c r="K27" t="n">
        <v>0.355</v>
      </c>
      <c r="L27" t="n">
        <v>0.004</v>
      </c>
      <c r="M27" t="n">
        <v>35000</v>
      </c>
      <c r="N27" t="n">
        <v>37450</v>
      </c>
      <c r="O27" t="n">
        <v>1760</v>
      </c>
      <c r="P27" t="n">
        <v>0.0881</v>
      </c>
      <c r="Q27" t="n">
        <v>5</v>
      </c>
      <c r="R27" t="n">
        <v>63</v>
      </c>
      <c r="S27" t="n">
        <v>129</v>
      </c>
      <c r="T27">
        <f>IFERROR(INDEX($D27:$S27,1,MATCH(Plot!$B$3,$D$5:$S$5,0)),NA())</f>
        <v/>
      </c>
      <c r="AP27">
        <f>$T$27</f>
        <v/>
      </c>
      <c r="CQ27">
        <f>$T$27</f>
        <v/>
      </c>
    </row>
    <row r="28">
      <c r="A28" t="inlineStr">
        <is>
          <t>Kia Soul</t>
        </is>
      </c>
      <c r="B28" t="inlineStr">
        <is>
          <t>gas</t>
        </is>
      </c>
      <c r="C28" t="n">
        <v>0.441</v>
      </c>
      <c r="D28" t="n">
        <v>0.458</v>
      </c>
      <c r="E28" t="n">
        <v>0.478</v>
      </c>
      <c r="F28" t="n">
        <v>0.477</v>
      </c>
      <c r="G28" t="n">
        <v>0.038</v>
      </c>
      <c r="H28" t="n">
        <v>0.503</v>
      </c>
      <c r="I28" t="n">
        <v>0.442</v>
      </c>
      <c r="J28" t="n">
        <v>0.138</v>
      </c>
      <c r="K28" t="n">
        <v>0.302</v>
      </c>
      <c r="L28" t="n">
        <v>0.025</v>
      </c>
      <c r="M28" t="n">
        <v>14500</v>
      </c>
      <c r="N28" t="n">
        <v>15515</v>
      </c>
      <c r="O28" t="n">
        <v>1640</v>
      </c>
      <c r="P28" t="n">
        <v>0.0881</v>
      </c>
      <c r="Q28" t="n">
        <v>5</v>
      </c>
      <c r="R28" t="n">
        <v>62</v>
      </c>
      <c r="S28" t="n">
        <v>306</v>
      </c>
      <c r="T28">
        <f>IFERROR(INDEX($D28:$S28,1,MATCH(Plot!$B$3,$D$5:$S$5,0)),NA())</f>
        <v/>
      </c>
      <c r="AQ28">
        <f>$T$28</f>
        <v/>
      </c>
      <c r="CQ28">
        <f>$T$28</f>
        <v/>
      </c>
    </row>
    <row r="29">
      <c r="A29" t="inlineStr">
        <is>
          <t>VW Passat</t>
        </is>
      </c>
      <c r="B29" t="inlineStr">
        <is>
          <t>gas</t>
        </is>
      </c>
      <c r="C29" t="n">
        <v>0.447</v>
      </c>
      <c r="D29" t="n">
        <v>0.468</v>
      </c>
      <c r="E29" t="n">
        <v>0.488</v>
      </c>
      <c r="F29" t="n">
        <v>0.48</v>
      </c>
      <c r="G29" t="n">
        <v>0.042</v>
      </c>
      <c r="H29" t="n">
        <v>0.516</v>
      </c>
      <c r="I29" t="n">
        <v>0.443</v>
      </c>
      <c r="J29" t="n">
        <v>0.14</v>
      </c>
      <c r="K29" t="n">
        <v>0.307</v>
      </c>
      <c r="L29" t="n">
        <v>0.026</v>
      </c>
      <c r="M29" t="n">
        <v>14200</v>
      </c>
      <c r="N29" t="n">
        <v>15194</v>
      </c>
      <c r="O29" t="n">
        <v>1720</v>
      </c>
      <c r="P29" t="n">
        <v>0.08939999999999999</v>
      </c>
      <c r="Q29" t="n">
        <v>5</v>
      </c>
      <c r="R29" t="n">
        <v>16</v>
      </c>
      <c r="S29" t="n">
        <v>317</v>
      </c>
      <c r="T29">
        <f>IFERROR(INDEX($D29:$S29,1,MATCH(Plot!$B$3,$D$5:$S$5,0)),NA())</f>
        <v/>
      </c>
      <c r="AR29">
        <f>$T$29</f>
        <v/>
      </c>
      <c r="CO29">
        <f>$T$29</f>
        <v/>
      </c>
    </row>
    <row r="30">
      <c r="A30" t="inlineStr">
        <is>
          <t>Buick Encore</t>
        </is>
      </c>
      <c r="B30" t="inlineStr">
        <is>
          <t>gas</t>
        </is>
      </c>
      <c r="C30" t="n">
        <v>0.45</v>
      </c>
      <c r="D30" t="n">
        <v>0.466</v>
      </c>
      <c r="E30" t="n">
        <v>0.485</v>
      </c>
      <c r="F30" t="n">
        <v>0.485</v>
      </c>
      <c r="G30" t="n">
        <v>0.035</v>
      </c>
      <c r="H30" t="n">
        <v>0.511</v>
      </c>
      <c r="I30" t="n">
        <v>0.451</v>
      </c>
      <c r="J30" t="n">
        <v>0.143</v>
      </c>
      <c r="K30" t="n">
        <v>0.307</v>
      </c>
      <c r="L30" t="n">
        <v>0.026</v>
      </c>
      <c r="M30" t="n">
        <v>14800</v>
      </c>
      <c r="N30" t="n">
        <v>15836</v>
      </c>
      <c r="O30" t="n">
        <v>1680</v>
      </c>
      <c r="P30" t="n">
        <v>0.0901</v>
      </c>
      <c r="Q30" t="n">
        <v>5</v>
      </c>
      <c r="R30" t="n">
        <v>48</v>
      </c>
      <c r="S30" t="n">
        <v>317</v>
      </c>
      <c r="T30">
        <f>IFERROR(INDEX($D30:$S30,1,MATCH(Plot!$B$3,$D$5:$S$5,0)),NA())</f>
        <v/>
      </c>
      <c r="AS30">
        <f>$T$30</f>
        <v/>
      </c>
      <c r="CQ30">
        <f>$T$30</f>
        <v/>
      </c>
    </row>
    <row r="31">
      <c r="A31" t="inlineStr">
        <is>
          <t>Hyundai Kona</t>
        </is>
      </c>
      <c r="B31" t="inlineStr">
        <is>
          <t>gas</t>
        </is>
      </c>
      <c r="C31" t="n">
        <v>0.456</v>
      </c>
      <c r="D31" t="n">
        <v>0.472</v>
      </c>
      <c r="E31" t="n">
        <v>0.493</v>
      </c>
      <c r="F31" t="n">
        <v>0.484</v>
      </c>
      <c r="G31" t="n">
        <v>0.037</v>
      </c>
      <c r="H31" t="n">
        <v>0.504</v>
      </c>
      <c r="I31" t="n">
        <v>0.459</v>
      </c>
      <c r="J31" t="n">
        <v>0.135</v>
      </c>
      <c r="K31" t="n">
        <v>0.32</v>
      </c>
      <c r="L31" t="n">
        <v>0.025</v>
      </c>
      <c r="M31" t="n">
        <v>15000</v>
      </c>
      <c r="N31" t="n">
        <v>16050</v>
      </c>
      <c r="O31" t="n">
        <v>1640</v>
      </c>
      <c r="P31" t="n">
        <v>0.0912</v>
      </c>
      <c r="Q31" t="n">
        <v>5</v>
      </c>
      <c r="R31" t="n">
        <v>45</v>
      </c>
      <c r="S31" t="n">
        <v>296</v>
      </c>
      <c r="T31">
        <f>IFERROR(INDEX($D31:$S31,1,MATCH(Plot!$B$3,$D$5:$S$5,0)),NA())</f>
        <v/>
      </c>
      <c r="AT31">
        <f>$T$31</f>
        <v/>
      </c>
      <c r="CQ31">
        <f>$T$31</f>
        <v/>
      </c>
    </row>
    <row r="32">
      <c r="A32" t="inlineStr">
        <is>
          <t>Mazda CX-5</t>
        </is>
      </c>
      <c r="B32" t="inlineStr">
        <is>
          <t>gas</t>
        </is>
      </c>
      <c r="C32" t="n">
        <v>0.461</v>
      </c>
      <c r="D32" t="n">
        <v>0.477</v>
      </c>
      <c r="E32" t="n">
        <v>0.492</v>
      </c>
      <c r="F32" t="n">
        <v>0.505</v>
      </c>
      <c r="G32" t="n">
        <v>0.032</v>
      </c>
      <c r="H32" t="n">
        <v>0.5649999999999999</v>
      </c>
      <c r="I32" t="n">
        <v>0.467</v>
      </c>
      <c r="J32" t="n">
        <v>0.146</v>
      </c>
      <c r="K32" t="n">
        <v>0.315</v>
      </c>
      <c r="L32" t="n">
        <v>0.027</v>
      </c>
      <c r="M32" t="n">
        <v>20600</v>
      </c>
      <c r="N32" t="n">
        <v>22042</v>
      </c>
      <c r="O32" t="n">
        <v>1680</v>
      </c>
      <c r="P32" t="n">
        <v>0.0921</v>
      </c>
      <c r="Q32" t="n">
        <v>5</v>
      </c>
      <c r="R32" t="n">
        <v>59</v>
      </c>
      <c r="S32" t="n">
        <v>342</v>
      </c>
      <c r="T32">
        <f>IFERROR(INDEX($D32:$S32,1,MATCH(Plot!$B$3,$D$5:$S$5,0)),NA())</f>
        <v/>
      </c>
      <c r="AU32">
        <f>$T$32</f>
        <v/>
      </c>
      <c r="CQ32">
        <f>$T$32</f>
        <v/>
      </c>
    </row>
    <row r="33">
      <c r="A33" t="inlineStr">
        <is>
          <t>Toyota Highlander Hybrid</t>
        </is>
      </c>
      <c r="B33" t="inlineStr">
        <is>
          <t>hybrid</t>
        </is>
      </c>
      <c r="C33" t="n">
        <v>0.47</v>
      </c>
      <c r="D33" t="n">
        <v>0.49</v>
      </c>
      <c r="E33" t="n">
        <v>0.512</v>
      </c>
      <c r="F33" t="n">
        <v>0.531</v>
      </c>
      <c r="G33" t="n">
        <v>0.042</v>
      </c>
      <c r="H33" t="n">
        <v>0.629</v>
      </c>
      <c r="I33" t="n">
        <v>0.463</v>
      </c>
      <c r="J33" t="n">
        <v>0.101</v>
      </c>
      <c r="K33" t="n">
        <v>0.369</v>
      </c>
      <c r="L33" t="n">
        <v>0.019</v>
      </c>
      <c r="M33" t="n">
        <v>32000</v>
      </c>
      <c r="N33" t="n">
        <v>34240</v>
      </c>
      <c r="O33" t="n">
        <v>1840</v>
      </c>
      <c r="P33" t="n">
        <v>0.06710000000000001</v>
      </c>
      <c r="Q33" t="n">
        <v>7</v>
      </c>
      <c r="R33" t="n">
        <v>84</v>
      </c>
      <c r="S33" t="n">
        <v>254</v>
      </c>
      <c r="T33">
        <f>IFERROR(INDEX($D33:$S33,1,MATCH(Plot!$B$3,$D$5:$S$5,0)),NA())</f>
        <v/>
      </c>
      <c r="AV33">
        <f>$T$33</f>
        <v/>
      </c>
      <c r="CQ33">
        <f>$T$33</f>
        <v/>
      </c>
    </row>
    <row r="34">
      <c r="A34" t="inlineStr">
        <is>
          <t>Subaru Outback</t>
        </is>
      </c>
      <c r="B34" t="inlineStr">
        <is>
          <t>gas</t>
        </is>
      </c>
      <c r="C34" t="n">
        <v>0.471</v>
      </c>
      <c r="D34" t="n">
        <v>0.492</v>
      </c>
      <c r="E34" t="n">
        <v>0.517</v>
      </c>
      <c r="F34" t="n">
        <v>0.51</v>
      </c>
      <c r="G34" t="n">
        <v>0.046</v>
      </c>
      <c r="H34" t="n">
        <v>0.549</v>
      </c>
      <c r="I34" t="n">
        <v>0.477</v>
      </c>
      <c r="J34" t="n">
        <v>0.135</v>
      </c>
      <c r="K34" t="n">
        <v>0.336</v>
      </c>
      <c r="L34" t="n">
        <v>0.025</v>
      </c>
      <c r="M34" t="n">
        <v>18800</v>
      </c>
      <c r="N34" t="n">
        <v>20116</v>
      </c>
      <c r="O34" t="n">
        <v>1640</v>
      </c>
      <c r="P34" t="n">
        <v>0.0941</v>
      </c>
      <c r="Q34" t="n">
        <v>5</v>
      </c>
      <c r="R34" t="n">
        <v>76</v>
      </c>
      <c r="S34" t="n">
        <v>306</v>
      </c>
      <c r="T34">
        <f>IFERROR(INDEX($D34:$S34,1,MATCH(Plot!$B$3,$D$5:$S$5,0)),NA())</f>
        <v/>
      </c>
      <c r="AW34">
        <f>$T$34</f>
        <v/>
      </c>
      <c r="CQ34">
        <f>$T$34</f>
        <v/>
      </c>
    </row>
    <row r="35">
      <c r="A35" t="inlineStr">
        <is>
          <t>Subaru Forester</t>
        </is>
      </c>
      <c r="B35" t="inlineStr">
        <is>
          <t>gas</t>
        </is>
      </c>
      <c r="C35" t="n">
        <v>0.471</v>
      </c>
      <c r="D35" t="n">
        <v>0.488</v>
      </c>
      <c r="E35" t="n">
        <v>0.508</v>
      </c>
      <c r="F35" t="n">
        <v>0.507</v>
      </c>
      <c r="G35" t="n">
        <v>0.037</v>
      </c>
      <c r="H35" t="n">
        <v>0.551</v>
      </c>
      <c r="I35" t="n">
        <v>0.479</v>
      </c>
      <c r="J35" t="n">
        <v>0.132</v>
      </c>
      <c r="K35" t="n">
        <v>0.339</v>
      </c>
      <c r="L35" t="n">
        <v>0.024</v>
      </c>
      <c r="M35" t="n">
        <v>22200</v>
      </c>
      <c r="N35" t="n">
        <v>23754</v>
      </c>
      <c r="O35" t="n">
        <v>1680</v>
      </c>
      <c r="P35" t="n">
        <v>0.09429999999999999</v>
      </c>
      <c r="Q35" t="n">
        <v>5</v>
      </c>
      <c r="R35" t="n">
        <v>76</v>
      </c>
      <c r="S35" t="n">
        <v>306</v>
      </c>
      <c r="T35">
        <f>IFERROR(INDEX($D35:$S35,1,MATCH(Plot!$B$3,$D$5:$S$5,0)),NA())</f>
        <v/>
      </c>
      <c r="AX35">
        <f>$T$35</f>
        <v/>
      </c>
      <c r="CQ35">
        <f>$T$35</f>
        <v/>
      </c>
    </row>
    <row r="36">
      <c r="A36" t="inlineStr">
        <is>
          <t>Toyota Sienna Hybrid</t>
        </is>
      </c>
      <c r="B36" t="inlineStr">
        <is>
          <t>hybrid</t>
        </is>
      </c>
      <c r="C36" t="n">
        <v>0.473</v>
      </c>
      <c r="D36" t="n">
        <v>0.495</v>
      </c>
      <c r="E36" t="n">
        <v>0.514</v>
      </c>
      <c r="F36" t="n">
        <v>0.532</v>
      </c>
      <c r="G36" t="n">
        <v>0.041</v>
      </c>
      <c r="H36" t="n">
        <v>0.616</v>
      </c>
      <c r="I36" t="n">
        <v>0.451</v>
      </c>
      <c r="J36" t="n">
        <v>0.096</v>
      </c>
      <c r="K36" t="n">
        <v>0.377</v>
      </c>
      <c r="L36" t="n">
        <v>0.018</v>
      </c>
      <c r="M36" t="n">
        <v>35000</v>
      </c>
      <c r="N36" t="n">
        <v>37450</v>
      </c>
      <c r="O36" t="n">
        <v>1840</v>
      </c>
      <c r="P36" t="n">
        <v>0.0591</v>
      </c>
      <c r="Q36" t="n">
        <v>8</v>
      </c>
      <c r="R36" t="n">
        <v>101</v>
      </c>
      <c r="S36" t="n">
        <v>247</v>
      </c>
      <c r="T36">
        <f>IFERROR(INDEX($D36:$S36,1,MATCH(Plot!$B$3,$D$5:$S$5,0)),NA())</f>
        <v/>
      </c>
      <c r="AY36">
        <f>$T$36</f>
        <v/>
      </c>
      <c r="CS36">
        <f>$T$36</f>
        <v/>
      </c>
    </row>
    <row r="37">
      <c r="A37" t="inlineStr">
        <is>
          <t>Toyota Tacoma</t>
        </is>
      </c>
      <c r="B37" t="inlineStr">
        <is>
          <t>gas</t>
        </is>
      </c>
      <c r="C37" t="n">
        <v>0.481</v>
      </c>
      <c r="D37" t="n">
        <v>0.5</v>
      </c>
      <c r="E37" t="n">
        <v>0.519</v>
      </c>
      <c r="F37" t="n">
        <v>0.534</v>
      </c>
      <c r="G37" t="n">
        <v>0.038</v>
      </c>
      <c r="H37" t="n">
        <v>0.6840000000000001</v>
      </c>
      <c r="I37" t="n">
        <v>0.474</v>
      </c>
      <c r="J37" t="n">
        <v>0.164</v>
      </c>
      <c r="K37" t="n">
        <v>0.317</v>
      </c>
      <c r="L37" t="n">
        <v>0.03</v>
      </c>
      <c r="M37" t="n">
        <v>29333</v>
      </c>
      <c r="N37" t="n">
        <v>31387</v>
      </c>
      <c r="O37" t="n">
        <v>1800</v>
      </c>
      <c r="P37" t="n">
        <v>0.09619999999999999</v>
      </c>
      <c r="Q37" t="n">
        <v>5</v>
      </c>
      <c r="R37" t="n">
        <v>40</v>
      </c>
      <c r="S37" t="n">
        <v>444</v>
      </c>
      <c r="T37">
        <f>IFERROR(INDEX($D37:$S37,1,MATCH(Plot!$B$3,$D$5:$S$5,0)),NA())</f>
        <v/>
      </c>
      <c r="AZ37">
        <f>$T$37</f>
        <v/>
      </c>
      <c r="CR37">
        <f>$T$37</f>
        <v/>
      </c>
    </row>
    <row r="38">
      <c r="A38" t="inlineStr">
        <is>
          <t>Nissan Rogue</t>
        </is>
      </c>
      <c r="B38" t="inlineStr">
        <is>
          <t>gas</t>
        </is>
      </c>
      <c r="C38" t="n">
        <v>0.486</v>
      </c>
      <c r="D38" t="n">
        <v>0.506</v>
      </c>
      <c r="E38" t="n">
        <v>0.529</v>
      </c>
      <c r="F38" t="n">
        <v>0.522</v>
      </c>
      <c r="G38" t="n">
        <v>0.043</v>
      </c>
      <c r="H38" t="n">
        <v>0.536</v>
      </c>
      <c r="I38" t="n">
        <v>0.498</v>
      </c>
      <c r="J38" t="n">
        <v>0.141</v>
      </c>
      <c r="K38" t="n">
        <v>0.344</v>
      </c>
      <c r="L38" t="n">
        <v>0.026</v>
      </c>
      <c r="M38" t="n">
        <v>18800</v>
      </c>
      <c r="N38" t="n">
        <v>20116</v>
      </c>
      <c r="O38" t="n">
        <v>1664</v>
      </c>
      <c r="P38" t="n">
        <v>0.09719999999999999</v>
      </c>
      <c r="Q38" t="n">
        <v>5</v>
      </c>
      <c r="R38" t="n">
        <v>74</v>
      </c>
      <c r="S38" t="n">
        <v>306</v>
      </c>
      <c r="T38">
        <f>IFERROR(INDEX($D38:$S38,1,MATCH(Plot!$B$3,$D$5:$S$5,0)),NA())</f>
        <v/>
      </c>
      <c r="BA38">
        <f>$T$38</f>
        <v/>
      </c>
      <c r="CQ38">
        <f>$T$38</f>
        <v/>
      </c>
    </row>
    <row r="39">
      <c r="A39" t="inlineStr">
        <is>
          <t>Chevy Equinox</t>
        </is>
      </c>
      <c r="B39" t="inlineStr">
        <is>
          <t>gas</t>
        </is>
      </c>
      <c r="C39" t="n">
        <v>0.488</v>
      </c>
      <c r="D39" t="n">
        <v>0.507</v>
      </c>
      <c r="E39" t="n">
        <v>0.531</v>
      </c>
      <c r="F39" t="n">
        <v>0.513</v>
      </c>
      <c r="G39" t="n">
        <v>0.043</v>
      </c>
      <c r="H39" t="n">
        <v>0.535</v>
      </c>
      <c r="I39" t="n">
        <v>0.498</v>
      </c>
      <c r="J39" t="n">
        <v>0.15</v>
      </c>
      <c r="K39" t="n">
        <v>0.338</v>
      </c>
      <c r="L39" t="n">
        <v>0.028</v>
      </c>
      <c r="M39" t="n">
        <v>17200</v>
      </c>
      <c r="N39" t="n">
        <v>18404</v>
      </c>
      <c r="O39" t="n">
        <v>1720</v>
      </c>
      <c r="P39" t="n">
        <v>0.09760000000000001</v>
      </c>
      <c r="Q39" t="n">
        <v>5</v>
      </c>
      <c r="R39" t="n">
        <v>64</v>
      </c>
      <c r="S39" t="n">
        <v>329</v>
      </c>
      <c r="T39">
        <f>IFERROR(INDEX($D39:$S39,1,MATCH(Plot!$B$3,$D$5:$S$5,0)),NA())</f>
        <v/>
      </c>
      <c r="BB39">
        <f>$T$39</f>
        <v/>
      </c>
      <c r="CQ39">
        <f>$T$39</f>
        <v/>
      </c>
    </row>
    <row r="40">
      <c r="A40" t="inlineStr">
        <is>
          <t>Toyota Sienna (V6)</t>
        </is>
      </c>
      <c r="B40" t="inlineStr">
        <is>
          <t>gas</t>
        </is>
      </c>
      <c r="C40" t="n">
        <v>0.493</v>
      </c>
      <c r="D40" t="n">
        <v>0.508</v>
      </c>
      <c r="E40" t="n">
        <v>0.523</v>
      </c>
      <c r="F40" t="n">
        <v>0.537</v>
      </c>
      <c r="G40" t="n">
        <v>0.029</v>
      </c>
      <c r="H40" t="n">
        <v>0.639</v>
      </c>
      <c r="I40" t="n">
        <v>0.483</v>
      </c>
      <c r="J40" t="n">
        <v>0.187</v>
      </c>
      <c r="K40" t="n">
        <v>0.306</v>
      </c>
      <c r="L40" t="n">
        <v>0.034</v>
      </c>
      <c r="M40" t="n">
        <v>22333</v>
      </c>
      <c r="N40" t="n">
        <v>23897</v>
      </c>
      <c r="O40" t="n">
        <v>1720</v>
      </c>
      <c r="P40" t="n">
        <v>0.0616</v>
      </c>
      <c r="Q40" t="n">
        <v>8</v>
      </c>
      <c r="R40" t="n">
        <v>101</v>
      </c>
      <c r="S40" t="n">
        <v>468</v>
      </c>
      <c r="T40">
        <f>IFERROR(INDEX($D40:$S40,1,MATCH(Plot!$B$3,$D$5:$S$5,0)),NA())</f>
        <v/>
      </c>
      <c r="BC40">
        <f>$T$40</f>
        <v/>
      </c>
      <c r="CS40">
        <f>$T$40</f>
        <v/>
      </c>
    </row>
    <row r="41">
      <c r="A41" t="inlineStr">
        <is>
          <t>Mini Cooper</t>
        </is>
      </c>
      <c r="B41" t="inlineStr">
        <is>
          <t>gas</t>
        </is>
      </c>
      <c r="C41" t="n">
        <v>0.493</v>
      </c>
      <c r="D41" t="n">
        <v>0.517</v>
      </c>
      <c r="E41" t="n">
        <v>0.545</v>
      </c>
      <c r="F41" t="n">
        <v>0.524</v>
      </c>
      <c r="G41" t="n">
        <v>0.052</v>
      </c>
      <c r="H41" t="n">
        <v>0.554</v>
      </c>
      <c r="I41" t="n">
        <v>0.488</v>
      </c>
      <c r="J41" t="n">
        <v>0.132</v>
      </c>
      <c r="K41" t="n">
        <v>0.362</v>
      </c>
      <c r="L41" t="n">
        <v>0.024</v>
      </c>
      <c r="M41" t="n">
        <v>18200</v>
      </c>
      <c r="N41" t="n">
        <v>19474</v>
      </c>
      <c r="O41" t="n">
        <v>1720</v>
      </c>
      <c r="P41" t="n">
        <v>0.1234</v>
      </c>
      <c r="Q41" t="n">
        <v>4</v>
      </c>
      <c r="R41" t="n">
        <v>34</v>
      </c>
      <c r="S41" t="n">
        <v>296</v>
      </c>
      <c r="T41">
        <f>IFERROR(INDEX($D41:$S41,1,MATCH(Plot!$B$3,$D$5:$S$5,0)),NA())</f>
        <v/>
      </c>
      <c r="BD41">
        <f>$T$41</f>
        <v/>
      </c>
      <c r="CP41">
        <f>$T$41</f>
        <v/>
      </c>
    </row>
    <row r="42">
      <c r="A42" t="inlineStr">
        <is>
          <t>Ford Ranger (old compact)</t>
        </is>
      </c>
      <c r="B42" t="inlineStr">
        <is>
          <t>gas</t>
        </is>
      </c>
      <c r="C42" t="n">
        <v>0.494</v>
      </c>
      <c r="D42" t="n">
        <v>0.515</v>
      </c>
      <c r="E42" t="n">
        <v>0.534</v>
      </c>
      <c r="F42" t="n">
        <v>0.504</v>
      </c>
      <c r="G42" t="n">
        <v>0.04</v>
      </c>
      <c r="H42" t="n">
        <v>0.555</v>
      </c>
      <c r="I42" t="n">
        <v>0.498</v>
      </c>
      <c r="J42" t="n">
        <v>0.176</v>
      </c>
      <c r="K42" t="n">
        <v>0.318</v>
      </c>
      <c r="L42" t="n">
        <v>0.032</v>
      </c>
      <c r="M42" t="n">
        <v>11500</v>
      </c>
      <c r="N42" t="n">
        <v>12305</v>
      </c>
      <c r="O42" t="n">
        <v>1832</v>
      </c>
      <c r="P42" t="n">
        <v>0.0989</v>
      </c>
      <c r="Q42" t="n">
        <v>5</v>
      </c>
      <c r="R42" t="n">
        <v>35</v>
      </c>
      <c r="S42" t="n">
        <v>423</v>
      </c>
      <c r="T42">
        <f>IFERROR(INDEX($D42:$S42,1,MATCH(Plot!$B$3,$D$5:$S$5,0)),NA())</f>
        <v/>
      </c>
      <c r="BE42">
        <f>$T$42</f>
        <v/>
      </c>
      <c r="CR42">
        <f>$T$42</f>
        <v/>
      </c>
    </row>
    <row r="43">
      <c r="A43" t="inlineStr">
        <is>
          <t>Fiat 500X</t>
        </is>
      </c>
      <c r="B43" t="inlineStr">
        <is>
          <t>gas</t>
        </is>
      </c>
      <c r="C43" t="n">
        <v>0.5</v>
      </c>
      <c r="D43" t="n">
        <v>0.514</v>
      </c>
      <c r="E43" t="n">
        <v>0.533</v>
      </c>
      <c r="F43" t="n">
        <v>0.525</v>
      </c>
      <c r="G43" t="n">
        <v>0.033</v>
      </c>
      <c r="H43" t="n">
        <v>0.538</v>
      </c>
      <c r="I43" t="n">
        <v>0.51</v>
      </c>
      <c r="J43" t="n">
        <v>0.16</v>
      </c>
      <c r="K43" t="n">
        <v>0.34</v>
      </c>
      <c r="L43" t="n">
        <v>0.029</v>
      </c>
      <c r="M43" t="n">
        <v>14800</v>
      </c>
      <c r="N43" t="n">
        <v>15836</v>
      </c>
      <c r="O43" t="n">
        <v>1640</v>
      </c>
      <c r="P43" t="n">
        <v>0.1</v>
      </c>
      <c r="Q43" t="n">
        <v>5</v>
      </c>
      <c r="R43" t="n">
        <v>50</v>
      </c>
      <c r="S43" t="n">
        <v>342</v>
      </c>
      <c r="T43">
        <f>IFERROR(INDEX($D43:$S43,1,MATCH(Plot!$B$3,$D$5:$S$5,0)),NA())</f>
        <v/>
      </c>
      <c r="BF43">
        <f>$T$43</f>
        <v/>
      </c>
      <c r="CQ43">
        <f>$T$43</f>
        <v/>
      </c>
    </row>
    <row r="44">
      <c r="A44" t="inlineStr">
        <is>
          <t>VW GTI</t>
        </is>
      </c>
      <c r="B44" t="inlineStr">
        <is>
          <t>gas</t>
        </is>
      </c>
      <c r="C44" t="n">
        <v>0.504</v>
      </c>
      <c r="D44" t="n">
        <v>0.526</v>
      </c>
      <c r="E44" t="n">
        <v>0.55</v>
      </c>
      <c r="F44" t="n">
        <v>0.542</v>
      </c>
      <c r="G44" t="n">
        <v>0.047</v>
      </c>
      <c r="H44" t="n">
        <v>0.585</v>
      </c>
      <c r="I44" t="n">
        <v>0.499</v>
      </c>
      <c r="J44" t="n">
        <v>0.145</v>
      </c>
      <c r="K44" t="n">
        <v>0.359</v>
      </c>
      <c r="L44" t="n">
        <v>0.027</v>
      </c>
      <c r="M44" t="n">
        <v>19000</v>
      </c>
      <c r="N44" t="n">
        <v>20330</v>
      </c>
      <c r="O44" t="n">
        <v>1720</v>
      </c>
      <c r="P44" t="n">
        <v>0.1008</v>
      </c>
      <c r="Q44" t="n">
        <v>5</v>
      </c>
      <c r="R44" t="n">
        <v>53</v>
      </c>
      <c r="S44" t="n">
        <v>329</v>
      </c>
      <c r="T44">
        <f>IFERROR(INDEX($D44:$S44,1,MATCH(Plot!$B$3,$D$5:$S$5,0)),NA())</f>
        <v/>
      </c>
      <c r="BG44">
        <f>$T$44</f>
        <v/>
      </c>
      <c r="CP44">
        <f>$T$44</f>
        <v/>
      </c>
    </row>
    <row r="45">
      <c r="A45" t="inlineStr">
        <is>
          <t>Kia Sportage</t>
        </is>
      </c>
      <c r="B45" t="inlineStr">
        <is>
          <t>gas</t>
        </is>
      </c>
      <c r="C45" t="n">
        <v>0.505</v>
      </c>
      <c r="D45" t="n">
        <v>0.526</v>
      </c>
      <c r="E45" t="n">
        <v>0.551</v>
      </c>
      <c r="F45" t="n">
        <v>0.54</v>
      </c>
      <c r="G45" t="n">
        <v>0.046</v>
      </c>
      <c r="H45" t="n">
        <v>0.551</v>
      </c>
      <c r="I45" t="n">
        <v>0.514</v>
      </c>
      <c r="J45" t="n">
        <v>0.16</v>
      </c>
      <c r="K45" t="n">
        <v>0.345</v>
      </c>
      <c r="L45" t="n">
        <v>0.029</v>
      </c>
      <c r="M45" t="n">
        <v>15667</v>
      </c>
      <c r="N45" t="n">
        <v>16763</v>
      </c>
      <c r="O45" t="n">
        <v>1680</v>
      </c>
      <c r="P45" t="n">
        <v>0.101</v>
      </c>
      <c r="Q45" t="n">
        <v>5</v>
      </c>
      <c r="R45" t="n">
        <v>60</v>
      </c>
      <c r="S45" t="n">
        <v>342</v>
      </c>
      <c r="T45">
        <f>IFERROR(INDEX($D45:$S45,1,MATCH(Plot!$B$3,$D$5:$S$5,0)),NA())</f>
        <v/>
      </c>
      <c r="BH45">
        <f>$T$45</f>
        <v/>
      </c>
      <c r="CQ45">
        <f>$T$45</f>
        <v/>
      </c>
    </row>
    <row r="46">
      <c r="A46" t="inlineStr">
        <is>
          <t>Ford Escape</t>
        </is>
      </c>
      <c r="B46" t="inlineStr">
        <is>
          <t>gas</t>
        </is>
      </c>
      <c r="C46" t="n">
        <v>0.506</v>
      </c>
      <c r="D46" t="n">
        <v>0.528</v>
      </c>
      <c r="E46" t="n">
        <v>0.552</v>
      </c>
      <c r="F46" t="n">
        <v>0.546</v>
      </c>
      <c r="G46" t="n">
        <v>0.046</v>
      </c>
      <c r="H46" t="n">
        <v>0.55</v>
      </c>
      <c r="I46" t="n">
        <v>0.517</v>
      </c>
      <c r="J46" t="n">
        <v>0.161</v>
      </c>
      <c r="K46" t="n">
        <v>0.345</v>
      </c>
      <c r="L46" t="n">
        <v>0.03</v>
      </c>
      <c r="M46" t="n">
        <v>15000</v>
      </c>
      <c r="N46" t="n">
        <v>16050</v>
      </c>
      <c r="O46" t="n">
        <v>1720</v>
      </c>
      <c r="P46" t="n">
        <v>0.1012</v>
      </c>
      <c r="Q46" t="n">
        <v>5</v>
      </c>
      <c r="R46" t="n">
        <v>65</v>
      </c>
      <c r="S46" t="n">
        <v>342</v>
      </c>
      <c r="T46">
        <f>IFERROR(INDEX($D46:$S46,1,MATCH(Plot!$B$3,$D$5:$S$5,0)),NA())</f>
        <v/>
      </c>
      <c r="BI46">
        <f>$T$46</f>
        <v/>
      </c>
      <c r="CQ46">
        <f>$T$46</f>
        <v/>
      </c>
    </row>
    <row r="47">
      <c r="A47" t="inlineStr">
        <is>
          <t>Toyota Highlander</t>
        </is>
      </c>
      <c r="B47" t="inlineStr">
        <is>
          <t>gas</t>
        </is>
      </c>
      <c r="C47" t="n">
        <v>0.512</v>
      </c>
      <c r="D47" t="n">
        <v>0.533</v>
      </c>
      <c r="E47" t="n">
        <v>0.555</v>
      </c>
      <c r="F47" t="n">
        <v>0.569</v>
      </c>
      <c r="G47" t="n">
        <v>0.043</v>
      </c>
      <c r="H47" t="n">
        <v>0.646</v>
      </c>
      <c r="I47" t="n">
        <v>0.508</v>
      </c>
      <c r="J47" t="n">
        <v>0.161</v>
      </c>
      <c r="K47" t="n">
        <v>0.351</v>
      </c>
      <c r="L47" t="n">
        <v>0.03</v>
      </c>
      <c r="M47" t="n">
        <v>25000</v>
      </c>
      <c r="N47" t="n">
        <v>26750</v>
      </c>
      <c r="O47" t="n">
        <v>1760</v>
      </c>
      <c r="P47" t="n">
        <v>0.0731</v>
      </c>
      <c r="Q47" t="n">
        <v>7</v>
      </c>
      <c r="R47" t="n">
        <v>84</v>
      </c>
      <c r="S47" t="n">
        <v>386</v>
      </c>
      <c r="T47">
        <f>IFERROR(INDEX($D47:$S47,1,MATCH(Plot!$B$3,$D$5:$S$5,0)),NA())</f>
        <v/>
      </c>
      <c r="BJ47">
        <f>$T$47</f>
        <v/>
      </c>
      <c r="CQ47">
        <f>$T$47</f>
        <v/>
      </c>
    </row>
    <row r="48">
      <c r="A48" t="inlineStr">
        <is>
          <t>Hyundai Tucson</t>
        </is>
      </c>
      <c r="B48" t="inlineStr">
        <is>
          <t>gas</t>
        </is>
      </c>
      <c r="C48" t="n">
        <v>0.519</v>
      </c>
      <c r="D48" t="n">
        <v>0.534</v>
      </c>
      <c r="E48" t="n">
        <v>0.5590000000000001</v>
      </c>
      <c r="F48" t="n">
        <v>0.534</v>
      </c>
      <c r="G48" t="n">
        <v>0.04</v>
      </c>
      <c r="H48" t="n">
        <v>0.555</v>
      </c>
      <c r="I48" t="n">
        <v>0.532</v>
      </c>
      <c r="J48" t="n">
        <v>0.164</v>
      </c>
      <c r="K48" t="n">
        <v>0.355</v>
      </c>
      <c r="L48" t="n">
        <v>0.03</v>
      </c>
      <c r="M48" t="n">
        <v>19541</v>
      </c>
      <c r="N48" t="n">
        <v>20908</v>
      </c>
      <c r="O48" t="n">
        <v>1680</v>
      </c>
      <c r="P48" t="n">
        <v>0.1039</v>
      </c>
      <c r="Q48" t="n">
        <v>5</v>
      </c>
      <c r="R48" t="n">
        <v>74</v>
      </c>
      <c r="S48" t="n">
        <v>355</v>
      </c>
      <c r="T48">
        <f>IFERROR(INDEX($D48:$S48,1,MATCH(Plot!$B$3,$D$5:$S$5,0)),NA())</f>
        <v/>
      </c>
      <c r="BK48">
        <f>$T$48</f>
        <v/>
      </c>
      <c r="CQ48">
        <f>$T$48</f>
        <v/>
      </c>
    </row>
    <row r="49">
      <c r="A49" t="inlineStr">
        <is>
          <t>Toyota 4Runner</t>
        </is>
      </c>
      <c r="B49" t="inlineStr">
        <is>
          <t>gas</t>
        </is>
      </c>
      <c r="C49" t="n">
        <v>0.521</v>
      </c>
      <c r="D49" t="n">
        <v>0.541</v>
      </c>
      <c r="E49" t="n">
        <v>0.5580000000000001</v>
      </c>
      <c r="F49" t="n">
        <v>0.579</v>
      </c>
      <c r="G49" t="n">
        <v>0.037</v>
      </c>
      <c r="H49" t="n">
        <v>0.766</v>
      </c>
      <c r="I49" t="n">
        <v>0.512</v>
      </c>
      <c r="J49" t="n">
        <v>0.187</v>
      </c>
      <c r="K49" t="n">
        <v>0.334</v>
      </c>
      <c r="L49" t="n">
        <v>0.034</v>
      </c>
      <c r="M49" t="n">
        <v>36333</v>
      </c>
      <c r="N49" t="n">
        <v>38877</v>
      </c>
      <c r="O49" t="n">
        <v>1800</v>
      </c>
      <c r="P49" t="n">
        <v>0.0745</v>
      </c>
      <c r="Q49" t="n">
        <v>7</v>
      </c>
      <c r="R49" t="n">
        <v>89</v>
      </c>
      <c r="S49" t="n">
        <v>523</v>
      </c>
      <c r="T49">
        <f>IFERROR(INDEX($D49:$S49,1,MATCH(Plot!$B$3,$D$5:$S$5,0)),NA())</f>
        <v/>
      </c>
      <c r="BL49">
        <f>$T$49</f>
        <v/>
      </c>
      <c r="CQ49">
        <f>$T$49</f>
        <v/>
      </c>
    </row>
    <row r="50">
      <c r="A50" t="inlineStr">
        <is>
          <t>Honda Odyssey</t>
        </is>
      </c>
      <c r="B50" t="inlineStr">
        <is>
          <t>gas</t>
        </is>
      </c>
      <c r="C50" t="n">
        <v>0.522</v>
      </c>
      <c r="D50" t="n">
        <v>0.544</v>
      </c>
      <c r="E50" t="n">
        <v>0.5679999999999999</v>
      </c>
      <c r="F50" t="n">
        <v>0.5679999999999999</v>
      </c>
      <c r="G50" t="n">
        <v>0.046</v>
      </c>
      <c r="H50" t="n">
        <v>0.623</v>
      </c>
      <c r="I50" t="n">
        <v>0.512</v>
      </c>
      <c r="J50" t="n">
        <v>0.174</v>
      </c>
      <c r="K50" t="n">
        <v>0.348</v>
      </c>
      <c r="L50" t="n">
        <v>0.032</v>
      </c>
      <c r="M50" t="n">
        <v>20333</v>
      </c>
      <c r="N50" t="n">
        <v>21757</v>
      </c>
      <c r="O50" t="n">
        <v>1680</v>
      </c>
      <c r="P50" t="n">
        <v>0.0653</v>
      </c>
      <c r="Q50" t="n">
        <v>8</v>
      </c>
      <c r="R50" t="n">
        <v>144</v>
      </c>
      <c r="S50" t="n">
        <v>404</v>
      </c>
      <c r="T50">
        <f>IFERROR(INDEX($D50:$S50,1,MATCH(Plot!$B$3,$D$5:$S$5,0)),NA())</f>
        <v/>
      </c>
      <c r="BM50">
        <f>$T$50</f>
        <v/>
      </c>
      <c r="CS50">
        <f>$T$50</f>
        <v/>
      </c>
    </row>
    <row r="51">
      <c r="A51" t="inlineStr">
        <is>
          <t>Kia Sorento</t>
        </is>
      </c>
      <c r="B51" t="inlineStr">
        <is>
          <t>gas</t>
        </is>
      </c>
      <c r="C51" t="n">
        <v>0.522</v>
      </c>
      <c r="D51" t="n">
        <v>0.542</v>
      </c>
      <c r="E51" t="n">
        <v>0.569</v>
      </c>
      <c r="F51" t="n">
        <v>0.5659999999999999</v>
      </c>
      <c r="G51" t="n">
        <v>0.046</v>
      </c>
      <c r="H51" t="n">
        <v>0.596</v>
      </c>
      <c r="I51" t="n">
        <v>0.524</v>
      </c>
      <c r="J51" t="n">
        <v>0.167</v>
      </c>
      <c r="K51" t="n">
        <v>0.355</v>
      </c>
      <c r="L51" t="n">
        <v>0.031</v>
      </c>
      <c r="M51" t="n">
        <v>18333</v>
      </c>
      <c r="N51" t="n">
        <v>19617</v>
      </c>
      <c r="O51" t="n">
        <v>1720</v>
      </c>
      <c r="P51" t="n">
        <v>0.0746</v>
      </c>
      <c r="Q51" t="n">
        <v>7</v>
      </c>
      <c r="R51" t="n">
        <v>75</v>
      </c>
      <c r="S51" t="n">
        <v>370</v>
      </c>
      <c r="T51">
        <f>IFERROR(INDEX($D51:$S51,1,MATCH(Plot!$B$3,$D$5:$S$5,0)),NA())</f>
        <v/>
      </c>
      <c r="BN51">
        <f>$T$51</f>
        <v/>
      </c>
      <c r="CQ51">
        <f>$T$51</f>
        <v/>
      </c>
    </row>
    <row r="52">
      <c r="A52" t="inlineStr">
        <is>
          <t>Hyundai Santa Fe</t>
        </is>
      </c>
      <c r="B52" t="inlineStr">
        <is>
          <t>gas</t>
        </is>
      </c>
      <c r="C52" t="n">
        <v>0.524</v>
      </c>
      <c r="D52" t="n">
        <v>0.546</v>
      </c>
      <c r="E52" t="n">
        <v>0.575</v>
      </c>
      <c r="F52" t="n">
        <v>0.571</v>
      </c>
      <c r="G52" t="n">
        <v>0.052</v>
      </c>
      <c r="H52" t="n">
        <v>0.577</v>
      </c>
      <c r="I52" t="n">
        <v>0.533</v>
      </c>
      <c r="J52" t="n">
        <v>0.166</v>
      </c>
      <c r="K52" t="n">
        <v>0.357</v>
      </c>
      <c r="L52" t="n">
        <v>0.03</v>
      </c>
      <c r="M52" t="n">
        <v>16667</v>
      </c>
      <c r="N52" t="n">
        <v>17833</v>
      </c>
      <c r="O52" t="n">
        <v>1720</v>
      </c>
      <c r="P52" t="n">
        <v>0.1047</v>
      </c>
      <c r="Q52" t="n">
        <v>5</v>
      </c>
      <c r="R52" t="n">
        <v>72</v>
      </c>
      <c r="S52" t="n">
        <v>355</v>
      </c>
      <c r="T52">
        <f>IFERROR(INDEX($D52:$S52,1,MATCH(Plot!$B$3,$D$5:$S$5,0)),NA())</f>
        <v/>
      </c>
      <c r="BO52">
        <f>$T$52</f>
        <v/>
      </c>
      <c r="CQ52">
        <f>$T$52</f>
        <v/>
      </c>
    </row>
    <row r="53">
      <c r="A53" t="inlineStr">
        <is>
          <t>VW Tiguan</t>
        </is>
      </c>
      <c r="B53" t="inlineStr">
        <is>
          <t>gas</t>
        </is>
      </c>
      <c r="C53" t="n">
        <v>0.525</v>
      </c>
      <c r="D53" t="n">
        <v>0.545</v>
      </c>
      <c r="E53" t="n">
        <v>0.572</v>
      </c>
      <c r="F53" t="n">
        <v>0.5590000000000001</v>
      </c>
      <c r="G53" t="n">
        <v>0.047</v>
      </c>
      <c r="H53" t="n">
        <v>0.575</v>
      </c>
      <c r="I53" t="n">
        <v>0.516</v>
      </c>
      <c r="J53" t="n">
        <v>0.167</v>
      </c>
      <c r="K53" t="n">
        <v>0.358</v>
      </c>
      <c r="L53" t="n">
        <v>0.031</v>
      </c>
      <c r="M53" t="n">
        <v>16800</v>
      </c>
      <c r="N53" t="n">
        <v>17976</v>
      </c>
      <c r="O53" t="n">
        <v>1680</v>
      </c>
      <c r="P53" t="n">
        <v>0.105</v>
      </c>
      <c r="Q53" t="n">
        <v>5</v>
      </c>
      <c r="R53" t="n">
        <v>74</v>
      </c>
      <c r="S53" t="n">
        <v>370</v>
      </c>
      <c r="T53">
        <f>IFERROR(INDEX($D53:$S53,1,MATCH(Plot!$B$3,$D$5:$S$5,0)),NA())</f>
        <v/>
      </c>
      <c r="BP53">
        <f>$T$53</f>
        <v/>
      </c>
      <c r="CQ53">
        <f>$T$53</f>
        <v/>
      </c>
    </row>
    <row r="54">
      <c r="A54" t="inlineStr">
        <is>
          <t>Chrysler Pacifica PHEV</t>
        </is>
      </c>
      <c r="B54" t="inlineStr">
        <is>
          <t>phev</t>
        </is>
      </c>
      <c r="C54" t="n">
        <v>0.539</v>
      </c>
      <c r="D54" t="n">
        <v>0.5649999999999999</v>
      </c>
      <c r="E54" t="n">
        <v>0.597</v>
      </c>
      <c r="F54" t="n">
        <v>0.581</v>
      </c>
      <c r="G54" t="n">
        <v>0.058</v>
      </c>
      <c r="H54" t="n">
        <v>0.576</v>
      </c>
      <c r="I54" t="n">
        <v>0.549</v>
      </c>
      <c r="J54" t="n">
        <v>0.125</v>
      </c>
      <c r="K54" t="n">
        <v>0.415</v>
      </c>
      <c r="L54" t="n">
        <v>0.014</v>
      </c>
      <c r="M54" t="n">
        <v>22000</v>
      </c>
      <c r="N54" t="n">
        <v>23540</v>
      </c>
      <c r="O54" t="n">
        <v>1760</v>
      </c>
      <c r="P54" t="n">
        <v>0.0771</v>
      </c>
      <c r="Q54" t="n">
        <v>7</v>
      </c>
      <c r="R54" t="n">
        <v>141</v>
      </c>
      <c r="S54" t="n">
        <v>210</v>
      </c>
      <c r="T54">
        <f>IFERROR(INDEX($D54:$S54,1,MATCH(Plot!$B$3,$D$5:$S$5,0)),NA())</f>
        <v/>
      </c>
      <c r="BQ54">
        <f>$T$54</f>
        <v/>
      </c>
      <c r="CS54">
        <f>$T$54</f>
        <v/>
      </c>
    </row>
    <row r="55">
      <c r="A55" t="inlineStr">
        <is>
          <t>Subaru Ascent</t>
        </is>
      </c>
      <c r="B55" t="inlineStr">
        <is>
          <t>gas</t>
        </is>
      </c>
      <c r="C55" t="n">
        <v>0.544</v>
      </c>
      <c r="D55" t="n">
        <v>0.5629999999999999</v>
      </c>
      <c r="E55" t="n">
        <v>0.582</v>
      </c>
      <c r="F55" t="n">
        <v>0.584</v>
      </c>
      <c r="G55" t="n">
        <v>0.038</v>
      </c>
      <c r="H55" t="n">
        <v>0.626</v>
      </c>
      <c r="I55" t="n">
        <v>0.555</v>
      </c>
      <c r="J55" t="n">
        <v>0.18</v>
      </c>
      <c r="K55" t="n">
        <v>0.364</v>
      </c>
      <c r="L55" t="n">
        <v>0.033</v>
      </c>
      <c r="M55" t="n">
        <v>23400</v>
      </c>
      <c r="N55" t="n">
        <v>25038</v>
      </c>
      <c r="O55" t="n">
        <v>1680</v>
      </c>
      <c r="P55" t="n">
        <v>0.07770000000000001</v>
      </c>
      <c r="Q55" t="n">
        <v>7</v>
      </c>
      <c r="R55" t="n">
        <v>75</v>
      </c>
      <c r="S55" t="n">
        <v>404</v>
      </c>
      <c r="T55">
        <f>IFERROR(INDEX($D55:$S55,1,MATCH(Plot!$B$3,$D$5:$S$5,0)),NA())</f>
        <v/>
      </c>
      <c r="BR55">
        <f>$T$55</f>
        <v/>
      </c>
      <c r="CQ55">
        <f>$T$55</f>
        <v/>
      </c>
    </row>
    <row r="56">
      <c r="A56" t="inlineStr">
        <is>
          <t>Ford Ranger (2019+ midsize)</t>
        </is>
      </c>
      <c r="B56" t="inlineStr">
        <is>
          <t>gas</t>
        </is>
      </c>
      <c r="C56" t="n">
        <v>0.549</v>
      </c>
      <c r="D56" t="n">
        <v>0.5659999999999999</v>
      </c>
      <c r="E56" t="n">
        <v>0.585</v>
      </c>
      <c r="F56" t="n">
        <v>0.584</v>
      </c>
      <c r="G56" t="n">
        <v>0.036</v>
      </c>
      <c r="H56" t="n">
        <v>0.639</v>
      </c>
      <c r="I56" t="n">
        <v>0.5610000000000001</v>
      </c>
      <c r="J56" t="n">
        <v>0.182</v>
      </c>
      <c r="K56" t="n">
        <v>0.367</v>
      </c>
      <c r="L56" t="n">
        <v>0.033</v>
      </c>
      <c r="M56" t="n">
        <v>23000</v>
      </c>
      <c r="N56" t="n">
        <v>24610</v>
      </c>
      <c r="O56" t="n">
        <v>1832</v>
      </c>
      <c r="P56" t="n">
        <v>0.1098</v>
      </c>
      <c r="Q56" t="n">
        <v>5</v>
      </c>
      <c r="R56" t="n">
        <v>40</v>
      </c>
      <c r="S56" t="n">
        <v>423</v>
      </c>
      <c r="T56">
        <f>IFERROR(INDEX($D56:$S56,1,MATCH(Plot!$B$3,$D$5:$S$5,0)),NA())</f>
        <v/>
      </c>
      <c r="BS56">
        <f>$T$56</f>
        <v/>
      </c>
      <c r="CR56">
        <f>$T$56</f>
        <v/>
      </c>
    </row>
    <row r="57">
      <c r="A57" t="inlineStr">
        <is>
          <t>Honda Pilot</t>
        </is>
      </c>
      <c r="B57" t="inlineStr">
        <is>
          <t>gas</t>
        </is>
      </c>
      <c r="C57" t="n">
        <v>0.549</v>
      </c>
      <c r="D57" t="n">
        <v>0.57</v>
      </c>
      <c r="E57" t="n">
        <v>0.591</v>
      </c>
      <c r="F57" t="n">
        <v>0.606</v>
      </c>
      <c r="G57" t="n">
        <v>0.042</v>
      </c>
      <c r="H57" t="n">
        <v>0.657</v>
      </c>
      <c r="I57" t="n">
        <v>0.548</v>
      </c>
      <c r="J57" t="n">
        <v>0.194</v>
      </c>
      <c r="K57" t="n">
        <v>0.356</v>
      </c>
      <c r="L57" t="n">
        <v>0.036</v>
      </c>
      <c r="M57" t="n">
        <v>22500</v>
      </c>
      <c r="N57" t="n">
        <v>24075</v>
      </c>
      <c r="O57" t="n">
        <v>1680</v>
      </c>
      <c r="P57" t="n">
        <v>0.0687</v>
      </c>
      <c r="Q57" t="n">
        <v>8</v>
      </c>
      <c r="R57" t="n">
        <v>87</v>
      </c>
      <c r="S57" t="n">
        <v>444</v>
      </c>
      <c r="T57">
        <f>IFERROR(INDEX($D57:$S57,1,MATCH(Plot!$B$3,$D$5:$S$5,0)),NA())</f>
        <v/>
      </c>
      <c r="BT57">
        <f>$T$57</f>
        <v/>
      </c>
      <c r="CQ57">
        <f>$T$57</f>
        <v/>
      </c>
    </row>
    <row r="58">
      <c r="A58" t="inlineStr">
        <is>
          <t>Mini Countryman</t>
        </is>
      </c>
      <c r="B58" t="inlineStr">
        <is>
          <t>gas</t>
        </is>
      </c>
      <c r="C58" t="n">
        <v>0.551</v>
      </c>
      <c r="D58" t="n">
        <v>0.575</v>
      </c>
      <c r="E58" t="n">
        <v>0.606</v>
      </c>
      <c r="F58" t="n">
        <v>0.586</v>
      </c>
      <c r="G58" t="n">
        <v>0.056</v>
      </c>
      <c r="H58" t="n">
        <v>0.612</v>
      </c>
      <c r="I58" t="n">
        <v>0.553</v>
      </c>
      <c r="J58" t="n">
        <v>0.156</v>
      </c>
      <c r="K58" t="n">
        <v>0.395</v>
      </c>
      <c r="L58" t="n">
        <v>0.029</v>
      </c>
      <c r="M58" t="n">
        <v>19000</v>
      </c>
      <c r="N58" t="n">
        <v>20330</v>
      </c>
      <c r="O58" t="n">
        <v>1760</v>
      </c>
      <c r="P58" t="n">
        <v>0.1101</v>
      </c>
      <c r="Q58" t="n">
        <v>5</v>
      </c>
      <c r="R58" t="n">
        <v>48</v>
      </c>
      <c r="S58" t="n">
        <v>342</v>
      </c>
      <c r="T58">
        <f>IFERROR(INDEX($D58:$S58,1,MATCH(Plot!$B$3,$D$5:$S$5,0)),NA())</f>
        <v/>
      </c>
      <c r="BU58">
        <f>$T$58</f>
        <v/>
      </c>
      <c r="CQ58">
        <f>$T$58</f>
        <v/>
      </c>
    </row>
    <row r="59">
      <c r="A59" t="inlineStr">
        <is>
          <t>Toyota Sequoia</t>
        </is>
      </c>
      <c r="B59" t="inlineStr">
        <is>
          <t>gas</t>
        </is>
      </c>
      <c r="C59" t="n">
        <v>0.5570000000000001</v>
      </c>
      <c r="D59" t="n">
        <v>0.579</v>
      </c>
      <c r="E59" t="n">
        <v>0.598</v>
      </c>
      <c r="F59" t="n">
        <v>0.62</v>
      </c>
      <c r="G59" t="n">
        <v>0.041</v>
      </c>
      <c r="H59" t="n">
        <v>0.805</v>
      </c>
      <c r="I59" t="n">
        <v>0.545</v>
      </c>
      <c r="J59" t="n">
        <v>0.216</v>
      </c>
      <c r="K59" t="n">
        <v>0.34</v>
      </c>
      <c r="L59" t="n">
        <v>0.04</v>
      </c>
      <c r="M59" t="n">
        <v>32250</v>
      </c>
      <c r="N59" t="n">
        <v>34508</v>
      </c>
      <c r="O59" t="n">
        <v>1960</v>
      </c>
      <c r="P59" t="n">
        <v>0.0696</v>
      </c>
      <c r="Q59" t="n">
        <v>8</v>
      </c>
      <c r="R59" t="n">
        <v>120</v>
      </c>
      <c r="S59" t="n">
        <v>592</v>
      </c>
      <c r="T59">
        <f>IFERROR(INDEX($D59:$S59,1,MATCH(Plot!$B$3,$D$5:$S$5,0)),NA())</f>
        <v/>
      </c>
      <c r="BV59">
        <f>$T$59</f>
        <v/>
      </c>
      <c r="CQ59">
        <f>$T$59</f>
        <v/>
      </c>
    </row>
    <row r="60">
      <c r="A60" t="inlineStr">
        <is>
          <t>Hyundai Palisade</t>
        </is>
      </c>
      <c r="B60" t="inlineStr">
        <is>
          <t>gas</t>
        </is>
      </c>
      <c r="C60" t="n">
        <v>0.5639999999999999</v>
      </c>
      <c r="D60" t="n">
        <v>0.583</v>
      </c>
      <c r="E60" t="n">
        <v>0.603</v>
      </c>
      <c r="F60" t="n">
        <v>0.611</v>
      </c>
      <c r="G60" t="n">
        <v>0.039</v>
      </c>
      <c r="H60" t="n">
        <v>0.6919999999999999</v>
      </c>
      <c r="I60" t="n">
        <v>0.5659999999999999</v>
      </c>
      <c r="J60" t="n">
        <v>0.178</v>
      </c>
      <c r="K60" t="n">
        <v>0.386</v>
      </c>
      <c r="L60" t="n">
        <v>0.033</v>
      </c>
      <c r="M60" t="n">
        <v>31000</v>
      </c>
      <c r="N60" t="n">
        <v>33170</v>
      </c>
      <c r="O60" t="n">
        <v>1720</v>
      </c>
      <c r="P60" t="n">
        <v>0.0806</v>
      </c>
      <c r="Q60" t="n">
        <v>7</v>
      </c>
      <c r="R60" t="n">
        <v>86</v>
      </c>
      <c r="S60" t="n">
        <v>423</v>
      </c>
      <c r="T60">
        <f>IFERROR(INDEX($D60:$S60,1,MATCH(Plot!$B$3,$D$5:$S$5,0)),NA())</f>
        <v/>
      </c>
      <c r="BW60">
        <f>$T$60</f>
        <v/>
      </c>
      <c r="CQ60">
        <f>$T$60</f>
        <v/>
      </c>
    </row>
    <row r="61">
      <c r="A61" t="inlineStr">
        <is>
          <t>Chrysler Pacifica</t>
        </is>
      </c>
      <c r="B61" t="inlineStr">
        <is>
          <t>gas</t>
        </is>
      </c>
      <c r="C61" t="n">
        <v>0.5659999999999999</v>
      </c>
      <c r="D61" t="n">
        <v>0.593</v>
      </c>
      <c r="E61" t="n">
        <v>0.625</v>
      </c>
      <c r="F61" t="n">
        <v>0.599</v>
      </c>
      <c r="G61" t="n">
        <v>0.06</v>
      </c>
      <c r="H61" t="n">
        <v>0.604</v>
      </c>
      <c r="I61" t="n">
        <v>0.581</v>
      </c>
      <c r="J61" t="n">
        <v>0.193</v>
      </c>
      <c r="K61" t="n">
        <v>0.373</v>
      </c>
      <c r="L61" t="n">
        <v>0.035</v>
      </c>
      <c r="M61" t="n">
        <v>16333</v>
      </c>
      <c r="N61" t="n">
        <v>17477</v>
      </c>
      <c r="O61" t="n">
        <v>1680</v>
      </c>
      <c r="P61" t="n">
        <v>0.0808</v>
      </c>
      <c r="Q61" t="n">
        <v>7</v>
      </c>
      <c r="R61" t="n">
        <v>141</v>
      </c>
      <c r="S61" t="n">
        <v>404</v>
      </c>
      <c r="T61">
        <f>IFERROR(INDEX($D61:$S61,1,MATCH(Plot!$B$3,$D$5:$S$5,0)),NA())</f>
        <v/>
      </c>
      <c r="BX61">
        <f>$T$61</f>
        <v/>
      </c>
      <c r="CS61">
        <f>$T$61</f>
        <v/>
      </c>
    </row>
    <row r="62">
      <c r="A62" t="inlineStr">
        <is>
          <t>Chevy Colorado</t>
        </is>
      </c>
      <c r="B62" t="inlineStr">
        <is>
          <t>gas</t>
        </is>
      </c>
      <c r="C62" t="n">
        <v>0.57</v>
      </c>
      <c r="D62" t="n">
        <v>0.589</v>
      </c>
      <c r="E62" t="n">
        <v>0.61</v>
      </c>
      <c r="F62" t="n">
        <v>0.615</v>
      </c>
      <c r="G62" t="n">
        <v>0.04</v>
      </c>
      <c r="H62" t="n">
        <v>0.6820000000000001</v>
      </c>
      <c r="I62" t="n">
        <v>0.58</v>
      </c>
      <c r="J62" t="n">
        <v>0.201</v>
      </c>
      <c r="K62" t="n">
        <v>0.368</v>
      </c>
      <c r="L62" t="n">
        <v>0.037</v>
      </c>
      <c r="M62" t="n">
        <v>23500</v>
      </c>
      <c r="N62" t="n">
        <v>25145</v>
      </c>
      <c r="O62" t="n">
        <v>1720</v>
      </c>
      <c r="P62" t="n">
        <v>0.1139</v>
      </c>
      <c r="Q62" t="n">
        <v>5</v>
      </c>
      <c r="R62" t="n">
        <v>40</v>
      </c>
      <c r="S62" t="n">
        <v>468</v>
      </c>
      <c r="T62">
        <f>IFERROR(INDEX($D62:$S62,1,MATCH(Plot!$B$3,$D$5:$S$5,0)),NA())</f>
        <v/>
      </c>
      <c r="BY62">
        <f>$T$62</f>
        <v/>
      </c>
      <c r="CR62">
        <f>$T$62</f>
        <v/>
      </c>
    </row>
    <row r="63">
      <c r="A63" t="inlineStr">
        <is>
          <t>Kia Telluride</t>
        </is>
      </c>
      <c r="B63" t="inlineStr">
        <is>
          <t>gas</t>
        </is>
      </c>
      <c r="C63" t="n">
        <v>0.574</v>
      </c>
      <c r="D63" t="n">
        <v>0.591</v>
      </c>
      <c r="E63" t="n">
        <v>0.61</v>
      </c>
      <c r="F63" t="n">
        <v>0.621</v>
      </c>
      <c r="G63" t="n">
        <v>0.036</v>
      </c>
      <c r="H63" t="n">
        <v>0.702</v>
      </c>
      <c r="I63" t="n">
        <v>0.579</v>
      </c>
      <c r="J63" t="n">
        <v>0.178</v>
      </c>
      <c r="K63" t="n">
        <v>0.396</v>
      </c>
      <c r="L63" t="n">
        <v>0.033</v>
      </c>
      <c r="M63" t="n">
        <v>33000</v>
      </c>
      <c r="N63" t="n">
        <v>35310</v>
      </c>
      <c r="O63" t="n">
        <v>1720</v>
      </c>
      <c r="P63" t="n">
        <v>0.082</v>
      </c>
      <c r="Q63" t="n">
        <v>7</v>
      </c>
      <c r="R63" t="n">
        <v>87</v>
      </c>
      <c r="S63" t="n">
        <v>423</v>
      </c>
      <c r="T63">
        <f>IFERROR(INDEX($D63:$S63,1,MATCH(Plot!$B$3,$D$5:$S$5,0)),NA())</f>
        <v/>
      </c>
      <c r="BZ63">
        <f>$T$63</f>
        <v/>
      </c>
      <c r="CQ63">
        <f>$T$63</f>
        <v/>
      </c>
    </row>
    <row r="64">
      <c r="A64" t="inlineStr">
        <is>
          <t>Mazda CX-90</t>
        </is>
      </c>
      <c r="B64" t="inlineStr">
        <is>
          <t>gas</t>
        </is>
      </c>
      <c r="C64" t="n">
        <v>0.582</v>
      </c>
      <c r="D64" t="n">
        <v>0.601</v>
      </c>
      <c r="E64" t="n">
        <v>0.619</v>
      </c>
      <c r="F64" t="n">
        <v>0.629</v>
      </c>
      <c r="G64" t="n">
        <v>0.036</v>
      </c>
      <c r="H64" t="n">
        <v>0.669</v>
      </c>
      <c r="I64" t="n">
        <v>0.569</v>
      </c>
      <c r="J64" t="n">
        <v>0.151</v>
      </c>
      <c r="K64" t="n">
        <v>0.432</v>
      </c>
      <c r="L64" t="n">
        <v>0.028</v>
      </c>
      <c r="M64" t="n">
        <v>38750</v>
      </c>
      <c r="N64" t="n">
        <v>41462</v>
      </c>
      <c r="O64" t="n">
        <v>1720</v>
      </c>
      <c r="P64" t="n">
        <v>0.0832</v>
      </c>
      <c r="Q64" t="n">
        <v>7</v>
      </c>
      <c r="R64" t="n">
        <v>75</v>
      </c>
      <c r="S64" t="n">
        <v>370</v>
      </c>
      <c r="T64">
        <f>IFERROR(INDEX($D64:$S64,1,MATCH(Plot!$B$3,$D$5:$S$5,0)),NA())</f>
        <v/>
      </c>
      <c r="CA64">
        <f>$T$64</f>
        <v/>
      </c>
      <c r="CQ64">
        <f>$T$64</f>
        <v/>
      </c>
    </row>
    <row r="65">
      <c r="A65" t="inlineStr">
        <is>
          <t>Chevy Traverse</t>
        </is>
      </c>
      <c r="B65" t="inlineStr">
        <is>
          <t>gas</t>
        </is>
      </c>
      <c r="C65" t="n">
        <v>0.583</v>
      </c>
      <c r="D65" t="n">
        <v>0.608</v>
      </c>
      <c r="E65" t="n">
        <v>0.638</v>
      </c>
      <c r="F65" t="n">
        <v>0.623</v>
      </c>
      <c r="G65" t="n">
        <v>0.055</v>
      </c>
      <c r="H65" t="n">
        <v>0.644</v>
      </c>
      <c r="I65" t="n">
        <v>0.595</v>
      </c>
      <c r="J65" t="n">
        <v>0.196</v>
      </c>
      <c r="K65" t="n">
        <v>0.387</v>
      </c>
      <c r="L65" t="n">
        <v>0.036</v>
      </c>
      <c r="M65" t="n">
        <v>20000</v>
      </c>
      <c r="N65" t="n">
        <v>21400</v>
      </c>
      <c r="O65" t="n">
        <v>1680</v>
      </c>
      <c r="P65" t="n">
        <v>0.0833</v>
      </c>
      <c r="Q65" t="n">
        <v>7</v>
      </c>
      <c r="R65" t="n">
        <v>98</v>
      </c>
      <c r="S65" t="n">
        <v>423</v>
      </c>
      <c r="T65">
        <f>IFERROR(INDEX($D65:$S65,1,MATCH(Plot!$B$3,$D$5:$S$5,0)),NA())</f>
        <v/>
      </c>
      <c r="CB65">
        <f>$T$65</f>
        <v/>
      </c>
      <c r="CQ65">
        <f>$T$65</f>
        <v/>
      </c>
    </row>
    <row r="66">
      <c r="A66" t="inlineStr">
        <is>
          <t>VW Atlas</t>
        </is>
      </c>
      <c r="B66" t="inlineStr">
        <is>
          <t>gas</t>
        </is>
      </c>
      <c r="C66" t="n">
        <v>0.589</v>
      </c>
      <c r="D66" t="n">
        <v>0.61</v>
      </c>
      <c r="E66" t="n">
        <v>0.637</v>
      </c>
      <c r="F66" t="n">
        <v>0.629</v>
      </c>
      <c r="G66" t="n">
        <v>0.047</v>
      </c>
      <c r="H66" t="n">
        <v>0.652</v>
      </c>
      <c r="I66" t="n">
        <v>0.58</v>
      </c>
      <c r="J66" t="n">
        <v>0.191</v>
      </c>
      <c r="K66" t="n">
        <v>0.398</v>
      </c>
      <c r="L66" t="n">
        <v>0.035</v>
      </c>
      <c r="M66" t="n">
        <v>21000</v>
      </c>
      <c r="N66" t="n">
        <v>22470</v>
      </c>
      <c r="O66" t="n">
        <v>1760</v>
      </c>
      <c r="P66" t="n">
        <v>0.0842</v>
      </c>
      <c r="Q66" t="n">
        <v>7</v>
      </c>
      <c r="R66" t="n">
        <v>97</v>
      </c>
      <c r="S66" t="n">
        <v>423</v>
      </c>
      <c r="T66">
        <f>IFERROR(INDEX($D66:$S66,1,MATCH(Plot!$B$3,$D$5:$S$5,0)),NA())</f>
        <v/>
      </c>
      <c r="CC66">
        <f>$T$66</f>
        <v/>
      </c>
      <c r="CQ66">
        <f>$T$66</f>
        <v/>
      </c>
    </row>
    <row r="67">
      <c r="A67" t="inlineStr">
        <is>
          <t>Ford Explorer</t>
        </is>
      </c>
      <c r="B67" t="inlineStr">
        <is>
          <t>gas</t>
        </is>
      </c>
      <c r="C67" t="n">
        <v>0.592</v>
      </c>
      <c r="D67" t="n">
        <v>0.617</v>
      </c>
      <c r="E67" t="n">
        <v>0.646</v>
      </c>
      <c r="F67" t="n">
        <v>0.639</v>
      </c>
      <c r="G67" t="n">
        <v>0.055</v>
      </c>
      <c r="H67" t="n">
        <v>0.659</v>
      </c>
      <c r="I67" t="n">
        <v>0.606</v>
      </c>
      <c r="J67" t="n">
        <v>0.196</v>
      </c>
      <c r="K67" t="n">
        <v>0.396</v>
      </c>
      <c r="L67" t="n">
        <v>0.036</v>
      </c>
      <c r="M67" t="n">
        <v>21000</v>
      </c>
      <c r="N67" t="n">
        <v>22470</v>
      </c>
      <c r="O67" t="n">
        <v>1720</v>
      </c>
      <c r="P67" t="n">
        <v>0.08450000000000001</v>
      </c>
      <c r="Q67" t="n">
        <v>7</v>
      </c>
      <c r="R67" t="n">
        <v>87</v>
      </c>
      <c r="S67" t="n">
        <v>423</v>
      </c>
      <c r="T67">
        <f>IFERROR(INDEX($D67:$S67,1,MATCH(Plot!$B$3,$D$5:$S$5,0)),NA())</f>
        <v/>
      </c>
      <c r="CD67">
        <f>$T$67</f>
        <v/>
      </c>
      <c r="CQ67">
        <f>$T$67</f>
        <v/>
      </c>
    </row>
    <row r="68">
      <c r="A68" t="inlineStr">
        <is>
          <t>Buick Enclave</t>
        </is>
      </c>
      <c r="B68" t="inlineStr">
        <is>
          <t>gas</t>
        </is>
      </c>
      <c r="C68" t="n">
        <v>0.601</v>
      </c>
      <c r="D68" t="n">
        <v>0.629</v>
      </c>
      <c r="E68" t="n">
        <v>0.659</v>
      </c>
      <c r="F68" t="n">
        <v>0.653</v>
      </c>
      <c r="G68" t="n">
        <v>0.058</v>
      </c>
      <c r="H68" t="n">
        <v>0.638</v>
      </c>
      <c r="I68" t="n">
        <v>0.617</v>
      </c>
      <c r="J68" t="n">
        <v>0.205</v>
      </c>
      <c r="K68" t="n">
        <v>0.396</v>
      </c>
      <c r="L68" t="n">
        <v>0.038</v>
      </c>
      <c r="M68" t="n">
        <v>16667</v>
      </c>
      <c r="N68" t="n">
        <v>17833</v>
      </c>
      <c r="O68" t="n">
        <v>1800</v>
      </c>
      <c r="P68" t="n">
        <v>0.0859</v>
      </c>
      <c r="Q68" t="n">
        <v>7</v>
      </c>
      <c r="R68" t="n">
        <v>97</v>
      </c>
      <c r="S68" t="n">
        <v>423</v>
      </c>
      <c r="T68">
        <f>IFERROR(INDEX($D68:$S68,1,MATCH(Plot!$B$3,$D$5:$S$5,0)),NA())</f>
        <v/>
      </c>
      <c r="CE68">
        <f>$T$68</f>
        <v/>
      </c>
      <c r="CQ68">
        <f>$T$68</f>
        <v/>
      </c>
    </row>
    <row r="69">
      <c r="A69" t="inlineStr">
        <is>
          <t>Volvo XC60</t>
        </is>
      </c>
      <c r="B69" t="inlineStr">
        <is>
          <t>gas</t>
        </is>
      </c>
      <c r="C69" t="n">
        <v>0.619</v>
      </c>
      <c r="D69" t="n">
        <v>0.642</v>
      </c>
      <c r="E69" t="n">
        <v>0.669</v>
      </c>
      <c r="F69" t="n">
        <v>0.672</v>
      </c>
      <c r="G69" t="n">
        <v>0.05</v>
      </c>
      <c r="H69" t="n">
        <v>0.721</v>
      </c>
      <c r="I69" t="n">
        <v>0.605</v>
      </c>
      <c r="J69" t="n">
        <v>0.17</v>
      </c>
      <c r="K69" t="n">
        <v>0.449</v>
      </c>
      <c r="L69" t="n">
        <v>0.031</v>
      </c>
      <c r="M69" t="n">
        <v>25200</v>
      </c>
      <c r="N69" t="n">
        <v>26964</v>
      </c>
      <c r="O69" t="n">
        <v>1880</v>
      </c>
      <c r="P69" t="n">
        <v>0.1238</v>
      </c>
      <c r="Q69" t="n">
        <v>5</v>
      </c>
      <c r="R69" t="n">
        <v>63</v>
      </c>
      <c r="S69" t="n">
        <v>386</v>
      </c>
      <c r="T69">
        <f>IFERROR(INDEX($D69:$S69,1,MATCH(Plot!$B$3,$D$5:$S$5,0)),NA())</f>
        <v/>
      </c>
      <c r="CF69">
        <f>$T$69</f>
        <v/>
      </c>
      <c r="CQ69">
        <f>$T$69</f>
        <v/>
      </c>
    </row>
    <row r="70">
      <c r="A70" t="inlineStr">
        <is>
          <t>Chevy Tahoe</t>
        </is>
      </c>
      <c r="B70" t="inlineStr">
        <is>
          <t>gas</t>
        </is>
      </c>
      <c r="C70" t="n">
        <v>0.63</v>
      </c>
      <c r="D70" t="n">
        <v>0.653</v>
      </c>
      <c r="E70" t="n">
        <v>0.674</v>
      </c>
      <c r="F70" t="n">
        <v>0.6909999999999999</v>
      </c>
      <c r="G70" t="n">
        <v>0.044</v>
      </c>
      <c r="H70" t="n">
        <v>0.84</v>
      </c>
      <c r="I70" t="n">
        <v>0.625</v>
      </c>
      <c r="J70" t="n">
        <v>0.219</v>
      </c>
      <c r="K70" t="n">
        <v>0.412</v>
      </c>
      <c r="L70" t="n">
        <v>0.04</v>
      </c>
      <c r="M70" t="n">
        <v>39375</v>
      </c>
      <c r="N70" t="n">
        <v>42131</v>
      </c>
      <c r="O70" t="n">
        <v>1880</v>
      </c>
      <c r="P70" t="n">
        <v>0.0788</v>
      </c>
      <c r="Q70" t="n">
        <v>8</v>
      </c>
      <c r="R70" t="n">
        <v>122</v>
      </c>
      <c r="S70" t="n">
        <v>555</v>
      </c>
      <c r="T70">
        <f>IFERROR(INDEX($D70:$S70,1,MATCH(Plot!$B$3,$D$5:$S$5,0)),NA())</f>
        <v/>
      </c>
      <c r="CG70">
        <f>$T$70</f>
        <v/>
      </c>
      <c r="CQ70">
        <f>$T$70</f>
        <v/>
      </c>
    </row>
    <row r="71">
      <c r="A71" t="inlineStr">
        <is>
          <t>Jeep Grand Cherokee L</t>
        </is>
      </c>
      <c r="B71" t="inlineStr">
        <is>
          <t>gas</t>
        </is>
      </c>
      <c r="C71" t="n">
        <v>0.634</v>
      </c>
      <c r="D71" t="n">
        <v>0.657</v>
      </c>
      <c r="E71" t="n">
        <v>0.679</v>
      </c>
      <c r="F71" t="n">
        <v>0.681</v>
      </c>
      <c r="G71" t="n">
        <v>0.045</v>
      </c>
      <c r="H71" t="n">
        <v>0.728</v>
      </c>
      <c r="I71" t="n">
        <v>0.641</v>
      </c>
      <c r="J71" t="n">
        <v>0.209</v>
      </c>
      <c r="K71" t="n">
        <v>0.425</v>
      </c>
      <c r="L71" t="n">
        <v>0.038</v>
      </c>
      <c r="M71" t="n">
        <v>28600</v>
      </c>
      <c r="N71" t="n">
        <v>30602</v>
      </c>
      <c r="O71" t="n">
        <v>1760</v>
      </c>
      <c r="P71" t="n">
        <v>0.1057</v>
      </c>
      <c r="Q71" t="n">
        <v>6</v>
      </c>
      <c r="R71" t="n">
        <v>84</v>
      </c>
      <c r="S71" t="n">
        <v>468</v>
      </c>
      <c r="T71">
        <f>IFERROR(INDEX($D71:$S71,1,MATCH(Plot!$B$3,$D$5:$S$5,0)),NA())</f>
        <v/>
      </c>
      <c r="CH71">
        <f>$T$71</f>
        <v/>
      </c>
      <c r="CQ71">
        <f>$T$71</f>
        <v/>
      </c>
    </row>
    <row r="72">
      <c r="A72" t="inlineStr">
        <is>
          <t>Volvo V90 Cross Country</t>
        </is>
      </c>
      <c r="B72" t="inlineStr">
        <is>
          <t>gas</t>
        </is>
      </c>
      <c r="C72" t="n">
        <v>0.64</v>
      </c>
      <c r="D72" t="n">
        <v>0.665</v>
      </c>
      <c r="E72" t="n">
        <v>0.6919999999999999</v>
      </c>
      <c r="F72" t="n">
        <v>0.699</v>
      </c>
      <c r="G72" t="n">
        <v>0.052</v>
      </c>
      <c r="H72" t="n">
        <v>0.741</v>
      </c>
      <c r="I72" t="n">
        <v>0.626</v>
      </c>
      <c r="J72" t="n">
        <v>0.157</v>
      </c>
      <c r="K72" t="n">
        <v>0.483</v>
      </c>
      <c r="L72" t="n">
        <v>0.029</v>
      </c>
      <c r="M72" t="n">
        <v>29800</v>
      </c>
      <c r="N72" t="n">
        <v>31886</v>
      </c>
      <c r="O72" t="n">
        <v>1880</v>
      </c>
      <c r="P72" t="n">
        <v>0.128</v>
      </c>
      <c r="Q72" t="n">
        <v>5</v>
      </c>
      <c r="R72" t="n">
        <v>69</v>
      </c>
      <c r="S72" t="n">
        <v>355</v>
      </c>
      <c r="T72">
        <f>IFERROR(INDEX($D72:$S72,1,MATCH(Plot!$B$3,$D$5:$S$5,0)),NA())</f>
        <v/>
      </c>
      <c r="CI72">
        <f>$T$72</f>
        <v/>
      </c>
      <c r="CQ72">
        <f>$T$72</f>
        <v/>
      </c>
    </row>
    <row r="73">
      <c r="A73" t="inlineStr">
        <is>
          <t>Chevy Suburban</t>
        </is>
      </c>
      <c r="B73" t="inlineStr">
        <is>
          <t>gas</t>
        </is>
      </c>
      <c r="C73" t="n">
        <v>0.641</v>
      </c>
      <c r="D73" t="n">
        <v>0.664</v>
      </c>
      <c r="E73" t="n">
        <v>0.6860000000000001</v>
      </c>
      <c r="F73" t="n">
        <v>0.707</v>
      </c>
      <c r="G73" t="n">
        <v>0.045</v>
      </c>
      <c r="H73" t="n">
        <v>0.867</v>
      </c>
      <c r="I73" t="n">
        <v>0.636</v>
      </c>
      <c r="J73" t="n">
        <v>0.217</v>
      </c>
      <c r="K73" t="n">
        <v>0.424</v>
      </c>
      <c r="L73" t="n">
        <v>0.04</v>
      </c>
      <c r="M73" t="n">
        <v>42375</v>
      </c>
      <c r="N73" t="n">
        <v>45341</v>
      </c>
      <c r="O73" t="n">
        <v>1920</v>
      </c>
      <c r="P73" t="n">
        <v>0.0801</v>
      </c>
      <c r="Q73" t="n">
        <v>8</v>
      </c>
      <c r="R73" t="n">
        <v>144</v>
      </c>
      <c r="S73" t="n">
        <v>555</v>
      </c>
      <c r="T73">
        <f>IFERROR(INDEX($D73:$S73,1,MATCH(Plot!$B$3,$D$5:$S$5,0)),NA())</f>
        <v/>
      </c>
      <c r="CJ73">
        <f>$T$73</f>
        <v/>
      </c>
      <c r="CQ73">
        <f>$T$73</f>
        <v/>
      </c>
    </row>
    <row r="74">
      <c r="A74" t="inlineStr">
        <is>
          <t>Volvo XC90</t>
        </is>
      </c>
      <c r="B74" t="inlineStr">
        <is>
          <t>gas</t>
        </is>
      </c>
      <c r="C74" t="n">
        <v>0.703</v>
      </c>
      <c r="D74" t="n">
        <v>0.738</v>
      </c>
      <c r="E74" t="n">
        <v>0.782</v>
      </c>
      <c r="F74" t="n">
        <v>0.77</v>
      </c>
      <c r="G74" t="n">
        <v>0.079</v>
      </c>
      <c r="H74" t="n">
        <v>0.806</v>
      </c>
      <c r="I74" t="n">
        <v>0.6909999999999999</v>
      </c>
      <c r="J74" t="n">
        <v>0.182</v>
      </c>
      <c r="K74" t="n">
        <v>0.521</v>
      </c>
      <c r="L74" t="n">
        <v>0.033</v>
      </c>
      <c r="M74" t="n">
        <v>30000</v>
      </c>
      <c r="N74" t="n">
        <v>32100</v>
      </c>
      <c r="O74" t="n">
        <v>1920</v>
      </c>
      <c r="P74" t="n">
        <v>0.1004</v>
      </c>
      <c r="Q74" t="n">
        <v>7</v>
      </c>
      <c r="R74" t="n">
        <v>86</v>
      </c>
      <c r="S74" t="n">
        <v>404</v>
      </c>
      <c r="T74">
        <f>IFERROR(INDEX($D74:$S74,1,MATCH(Plot!$B$3,$D$5:$S$5,0)),NA())</f>
        <v/>
      </c>
      <c r="CK74">
        <f>$T$74</f>
        <v/>
      </c>
      <c r="CQ74">
        <f>$T$74</f>
        <v/>
      </c>
    </row>
    <row r="75">
      <c r="A75" t="inlineStr">
        <is>
          <t>Porsche 996 Carrera</t>
        </is>
      </c>
      <c r="B75" t="inlineStr">
        <is>
          <t>gas</t>
        </is>
      </c>
      <c r="C75" t="n">
        <v>0.842</v>
      </c>
      <c r="D75" t="n">
        <v>0.852</v>
      </c>
      <c r="E75" t="n">
        <v>0.872</v>
      </c>
      <c r="F75" t="n">
        <v>0.842</v>
      </c>
      <c r="G75" t="n">
        <v>0.03</v>
      </c>
      <c r="H75" t="n">
        <v>0.889</v>
      </c>
      <c r="I75" t="n">
        <v>0.804</v>
      </c>
      <c r="J75" t="n">
        <v>0.198</v>
      </c>
      <c r="K75" t="n">
        <v>0.644</v>
      </c>
      <c r="L75" t="n">
        <v>0.036</v>
      </c>
      <c r="M75" t="n">
        <v>38833</v>
      </c>
      <c r="N75" t="n">
        <v>41552</v>
      </c>
      <c r="O75" t="n">
        <v>1760</v>
      </c>
      <c r="P75" t="n">
        <v>0.4211</v>
      </c>
      <c r="Q75" t="n">
        <v>2</v>
      </c>
      <c r="R75" t="n">
        <v>5</v>
      </c>
      <c r="S75" t="n">
        <v>468</v>
      </c>
      <c r="T75">
        <f>IFERROR(INDEX($D75:$S75,1,MATCH(Plot!$B$3,$D$5:$S$5,0)),NA())</f>
        <v/>
      </c>
      <c r="CL75">
        <f>$T$75</f>
        <v/>
      </c>
      <c r="CT75">
        <f>$T$75</f>
        <v/>
      </c>
    </row>
    <row r="76">
      <c r="A76" t="inlineStr">
        <is>
          <t>Porsche 996 Turbo</t>
        </is>
      </c>
      <c r="B76" t="inlineStr">
        <is>
          <t>gas</t>
        </is>
      </c>
      <c r="C76" t="n">
        <v>1.043</v>
      </c>
      <c r="D76" t="n">
        <v>1.056</v>
      </c>
      <c r="E76" t="n">
        <v>1.074</v>
      </c>
      <c r="F76" t="n">
        <v>1.044</v>
      </c>
      <c r="G76" t="n">
        <v>0.031</v>
      </c>
      <c r="H76" t="n">
        <v>1.102</v>
      </c>
      <c r="I76" t="n">
        <v>0.983</v>
      </c>
      <c r="J76" t="n">
        <v>0.215</v>
      </c>
      <c r="K76" t="n">
        <v>0.828</v>
      </c>
      <c r="L76" t="n">
        <v>0.039</v>
      </c>
      <c r="M76" t="n">
        <v>60333</v>
      </c>
      <c r="N76" t="n">
        <v>64557</v>
      </c>
      <c r="O76" t="n">
        <v>1920</v>
      </c>
      <c r="P76" t="n">
        <v>0.5213</v>
      </c>
      <c r="Q76" t="n">
        <v>2</v>
      </c>
      <c r="R76" t="n">
        <v>5</v>
      </c>
      <c r="S76" t="n">
        <v>523</v>
      </c>
      <c r="T76">
        <f>IFERROR(INDEX($D76:$S76,1,MATCH(Plot!$B$3,$D$5:$S$5,0)),NA())</f>
        <v/>
      </c>
      <c r="CM76">
        <f>$T$76</f>
        <v/>
      </c>
      <c r="CT76">
        <f>$T$76</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Z243"/>
  <sheetViews>
    <sheetView workbookViewId="0">
      <selection activeCell="A1" sqref="A1"/>
    </sheetView>
  </sheetViews>
  <sheetFormatPr baseColWidth="8" defaultRowHeight="15"/>
  <cols>
    <col width="26" customWidth="1" min="14" max="14"/>
    <col width="16" customWidth="1" min="15" max="15"/>
    <col width="16" customWidth="1" min="16" max="16"/>
    <col width="16"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5" t="inlineStr">
        <is>
          <t>CHARTS DATA (helper) — backing tables for the Charts tab. Pick cars on the Charts tab, not here.</t>
        </is>
      </c>
    </row>
    <row r="2">
      <c r="BH2" t="inlineStr">
        <is>
          <t>x</t>
        </is>
      </c>
      <c r="BI2" t="inlineStr">
        <is>
          <t>Chevy Bolt EV</t>
        </is>
      </c>
      <c r="BJ2" t="inlineStr">
        <is>
          <t>Chevy Volt</t>
        </is>
      </c>
      <c r="BK2" t="inlineStr">
        <is>
          <t>Toyota Prius (hybrid)</t>
        </is>
      </c>
      <c r="BL2" t="inlineStr">
        <is>
          <t>Toyota Prius Prime</t>
        </is>
      </c>
      <c r="BM2" t="inlineStr">
        <is>
          <t>Toyota Corolla</t>
        </is>
      </c>
      <c r="BN2" t="inlineStr">
        <is>
          <t>Toyota Camry Hybrid</t>
        </is>
      </c>
      <c r="BO2" t="inlineStr">
        <is>
          <t>Honda Civic</t>
        </is>
      </c>
      <c r="BP2" t="inlineStr">
        <is>
          <t>Nissan Leaf</t>
        </is>
      </c>
      <c r="BQ2" t="inlineStr">
        <is>
          <t>Hyundai Elantra</t>
        </is>
      </c>
      <c r="BR2" t="inlineStr">
        <is>
          <t>Honda Accord</t>
        </is>
      </c>
      <c r="BS2" t="inlineStr">
        <is>
          <t>Kia K4</t>
        </is>
      </c>
      <c r="BT2" t="inlineStr">
        <is>
          <t>Mazda3 (SkyActiv)</t>
        </is>
      </c>
      <c r="BU2" t="inlineStr">
        <is>
          <t>Toyota Camry</t>
        </is>
      </c>
      <c r="BV2" t="inlineStr">
        <is>
          <t>Toyota RAV4 Hybrid</t>
        </is>
      </c>
      <c r="BW2" t="inlineStr">
        <is>
          <t>Kia Niro (hybrid)</t>
        </is>
      </c>
      <c r="BX2" t="inlineStr">
        <is>
          <t>Tesla Model 3</t>
        </is>
      </c>
      <c r="BY2" t="inlineStr">
        <is>
          <t>Hyundai Sonata</t>
        </is>
      </c>
      <c r="BZ2" t="inlineStr">
        <is>
          <t>Toyota RAV4</t>
        </is>
      </c>
      <c r="CA2" t="inlineStr">
        <is>
          <t>Fiat 500</t>
        </is>
      </c>
      <c r="CB2" t="inlineStr">
        <is>
          <t>Honda CR-V</t>
        </is>
      </c>
      <c r="CC2" t="inlineStr">
        <is>
          <t>VW ID.4 (AWD avail)</t>
        </is>
      </c>
      <c r="CD2" t="inlineStr">
        <is>
          <t>Toyota RAV4 Prime</t>
        </is>
      </c>
      <c r="CE2" t="inlineStr">
        <is>
          <t>Kia Soul</t>
        </is>
      </c>
      <c r="CF2" t="inlineStr">
        <is>
          <t>VW Passat</t>
        </is>
      </c>
      <c r="CG2" t="inlineStr">
        <is>
          <t>Buick Encore</t>
        </is>
      </c>
      <c r="CH2" t="inlineStr">
        <is>
          <t>Hyundai Kona</t>
        </is>
      </c>
      <c r="CI2" t="inlineStr">
        <is>
          <t>Mazda CX-5</t>
        </is>
      </c>
      <c r="CJ2" t="inlineStr">
        <is>
          <t>Toyota Highlander Hybrid</t>
        </is>
      </c>
      <c r="CK2" t="inlineStr">
        <is>
          <t>Subaru Outback</t>
        </is>
      </c>
      <c r="CL2" t="inlineStr">
        <is>
          <t>Subaru Forester</t>
        </is>
      </c>
      <c r="CM2" t="inlineStr">
        <is>
          <t>Toyota Sienna Hybrid</t>
        </is>
      </c>
      <c r="CN2" t="inlineStr">
        <is>
          <t>Toyota Tacoma</t>
        </is>
      </c>
      <c r="CO2" t="inlineStr">
        <is>
          <t>Nissan Rogue</t>
        </is>
      </c>
      <c r="CP2" t="inlineStr">
        <is>
          <t>Chevy Equinox</t>
        </is>
      </c>
      <c r="CQ2" t="inlineStr">
        <is>
          <t>Toyota Sienna (V6)</t>
        </is>
      </c>
      <c r="CR2" t="inlineStr">
        <is>
          <t>Mini Cooper</t>
        </is>
      </c>
      <c r="CS2" t="inlineStr">
        <is>
          <t>Ford Ranger (old compact)</t>
        </is>
      </c>
      <c r="CT2" t="inlineStr">
        <is>
          <t>Fiat 500X</t>
        </is>
      </c>
      <c r="CU2" t="inlineStr">
        <is>
          <t>VW GTI</t>
        </is>
      </c>
      <c r="CV2" t="inlineStr">
        <is>
          <t>Kia Sportage</t>
        </is>
      </c>
      <c r="CW2" t="inlineStr">
        <is>
          <t>Ford Escape</t>
        </is>
      </c>
      <c r="CX2" t="inlineStr">
        <is>
          <t>Toyota Highlander</t>
        </is>
      </c>
      <c r="CY2" t="inlineStr">
        <is>
          <t>Hyundai Tucson</t>
        </is>
      </c>
      <c r="CZ2" t="inlineStr">
        <is>
          <t>Toyota 4Runner</t>
        </is>
      </c>
      <c r="DA2" t="inlineStr">
        <is>
          <t>Honda Odyssey</t>
        </is>
      </c>
      <c r="DB2" t="inlineStr">
        <is>
          <t>Kia Sorento</t>
        </is>
      </c>
      <c r="DC2" t="inlineStr">
        <is>
          <t>Hyundai Santa Fe</t>
        </is>
      </c>
      <c r="DD2" t="inlineStr">
        <is>
          <t>VW Tiguan</t>
        </is>
      </c>
      <c r="DE2" t="inlineStr">
        <is>
          <t>Chrysler Pacifica PHEV</t>
        </is>
      </c>
      <c r="DF2" t="inlineStr">
        <is>
          <t>Subaru Ascent</t>
        </is>
      </c>
      <c r="DG2" t="inlineStr">
        <is>
          <t>Ford Ranger (2019+ midsize)</t>
        </is>
      </c>
      <c r="DH2" t="inlineStr">
        <is>
          <t>Honda Pilot</t>
        </is>
      </c>
      <c r="DI2" t="inlineStr">
        <is>
          <t>Mini Countryman</t>
        </is>
      </c>
      <c r="DJ2" t="inlineStr">
        <is>
          <t>Toyota Sequoia</t>
        </is>
      </c>
      <c r="DK2" t="inlineStr">
        <is>
          <t>Hyundai Palisade</t>
        </is>
      </c>
      <c r="DL2" t="inlineStr">
        <is>
          <t>Chrysler Pacifica</t>
        </is>
      </c>
      <c r="DM2" t="inlineStr">
        <is>
          <t>Chevy Colorado</t>
        </is>
      </c>
      <c r="DN2" t="inlineStr">
        <is>
          <t>Kia Telluride</t>
        </is>
      </c>
      <c r="DO2" t="inlineStr">
        <is>
          <t>Mazda CX-90</t>
        </is>
      </c>
      <c r="DP2" t="inlineStr">
        <is>
          <t>Chevy Traverse</t>
        </is>
      </c>
      <c r="DQ2" t="inlineStr">
        <is>
          <t>VW Atlas</t>
        </is>
      </c>
      <c r="DR2" t="inlineStr">
        <is>
          <t>Ford Explorer</t>
        </is>
      </c>
      <c r="DS2" t="inlineStr">
        <is>
          <t>Buick Enclave</t>
        </is>
      </c>
      <c r="DT2" t="inlineStr">
        <is>
          <t>Volvo XC60</t>
        </is>
      </c>
      <c r="DU2" t="inlineStr">
        <is>
          <t>Chevy Tahoe</t>
        </is>
      </c>
      <c r="DV2" t="inlineStr">
        <is>
          <t>Jeep Grand Cherokee L</t>
        </is>
      </c>
      <c r="DW2" t="inlineStr">
        <is>
          <t>Volvo V90 Cross Country</t>
        </is>
      </c>
      <c r="DX2" t="inlineStr">
        <is>
          <t>Chevy Suburban</t>
        </is>
      </c>
      <c r="DY2" t="inlineStr">
        <is>
          <t>Volvo XC90</t>
        </is>
      </c>
      <c r="DZ2" t="inlineStr">
        <is>
          <t>Porsche 996 Carrera</t>
        </is>
      </c>
      <c r="EA2" t="inlineStr">
        <is>
          <t>Porsche 996 Turbo</t>
        </is>
      </c>
    </row>
    <row r="3">
      <c r="BH3" t="n">
        <v>20000</v>
      </c>
      <c r="BI3" t="n">
        <v>9687.621300000001</v>
      </c>
      <c r="BJ3" t="n">
        <v>9357.850700000001</v>
      </c>
      <c r="BK3" t="n">
        <v>11538.4434</v>
      </c>
      <c r="BL3" t="n">
        <v>10302.6868</v>
      </c>
      <c r="BM3" t="n">
        <v>11506.2161</v>
      </c>
      <c r="BN3" t="n">
        <v>10671.1627</v>
      </c>
      <c r="BO3" t="n">
        <v>12042.7748</v>
      </c>
      <c r="BP3" t="n">
        <v>9397.052900000001</v>
      </c>
      <c r="BQ3" t="n">
        <v>11317.2029</v>
      </c>
      <c r="BR3" t="n">
        <v>11681.8517</v>
      </c>
      <c r="BS3" t="n">
        <v>12241.8383</v>
      </c>
      <c r="BT3" t="n">
        <v>12228.9441</v>
      </c>
      <c r="BU3" t="n">
        <v>13398.1569</v>
      </c>
      <c r="BV3" t="n">
        <v>12669.1209</v>
      </c>
      <c r="BW3" t="n">
        <v>11161.111</v>
      </c>
      <c r="BX3" t="n">
        <v>12210.8395</v>
      </c>
      <c r="BY3" t="n">
        <v>12120.2651</v>
      </c>
      <c r="BZ3" t="n">
        <v>13686.7264</v>
      </c>
      <c r="CA3" t="n">
        <v>10912.7221</v>
      </c>
      <c r="CB3" t="n">
        <v>13273.1191</v>
      </c>
      <c r="CC3" t="n">
        <v>12657.2457</v>
      </c>
      <c r="CD3" t="n">
        <v>14782.621</v>
      </c>
      <c r="CE3" t="n">
        <v>11977.2095</v>
      </c>
      <c r="CF3" t="n">
        <v>12508.8171</v>
      </c>
      <c r="CG3" t="n">
        <v>12427.6595</v>
      </c>
      <c r="CH3" t="n">
        <v>12051.0767</v>
      </c>
      <c r="CI3" t="n">
        <v>14241.7855</v>
      </c>
      <c r="CJ3" t="n">
        <v>16436.2744</v>
      </c>
      <c r="CK3" t="n">
        <v>13284.2755</v>
      </c>
      <c r="CL3" t="n">
        <v>13150.7369</v>
      </c>
      <c r="CM3" t="n">
        <v>16101.4785</v>
      </c>
      <c r="CN3" t="n">
        <v>17050.9698</v>
      </c>
      <c r="CO3" t="n">
        <v>12913.0029</v>
      </c>
      <c r="CP3" t="n">
        <v>12577.9429</v>
      </c>
      <c r="CQ3" t="n">
        <v>15805.9181</v>
      </c>
      <c r="CR3" t="n">
        <v>13837.9599</v>
      </c>
      <c r="CS3" t="n">
        <v>13025.5781</v>
      </c>
      <c r="CT3" t="n">
        <v>13095.6808</v>
      </c>
      <c r="CU3" t="n">
        <v>14308.9888</v>
      </c>
      <c r="CV3" t="n">
        <v>13556.0413</v>
      </c>
      <c r="CW3" t="n">
        <v>13184.9156</v>
      </c>
      <c r="CX3" t="n">
        <v>16411.8825</v>
      </c>
      <c r="CY3" t="n">
        <v>13297.7538</v>
      </c>
      <c r="CZ3" t="n">
        <v>19506.4207</v>
      </c>
      <c r="DA3" t="n">
        <v>15551.9639</v>
      </c>
      <c r="DB3" t="n">
        <v>14396.8072</v>
      </c>
      <c r="DC3" t="n">
        <v>13988.0875</v>
      </c>
      <c r="DD3" t="n">
        <v>14218.9262</v>
      </c>
      <c r="DE3" t="n">
        <v>14695.45</v>
      </c>
      <c r="DF3" t="n">
        <v>15586.8443</v>
      </c>
      <c r="DG3" t="n">
        <v>15409.6105</v>
      </c>
      <c r="DH3" t="n">
        <v>16361.2347</v>
      </c>
      <c r="DI3" t="n">
        <v>15055.3973</v>
      </c>
      <c r="DJ3" t="n">
        <v>20290.5244</v>
      </c>
      <c r="DK3" t="n">
        <v>17670.7703</v>
      </c>
      <c r="DL3" t="n">
        <v>14486.9683</v>
      </c>
      <c r="DM3" t="n">
        <v>16093.2406</v>
      </c>
      <c r="DN3" t="n">
        <v>18008.4823</v>
      </c>
      <c r="DO3" t="n">
        <v>19132.1402</v>
      </c>
      <c r="DP3" t="n">
        <v>15341.0927</v>
      </c>
      <c r="DQ3" t="n">
        <v>16423.2372</v>
      </c>
      <c r="DR3" t="n">
        <v>16169.1469</v>
      </c>
      <c r="DS3" t="n">
        <v>15407.3047</v>
      </c>
      <c r="DT3" t="n">
        <v>18012.5472</v>
      </c>
      <c r="DU3" t="n">
        <v>21521.3829</v>
      </c>
      <c r="DV3" t="n">
        <v>18821.4133</v>
      </c>
      <c r="DW3" t="n">
        <v>19270.0088</v>
      </c>
      <c r="DX3" t="n">
        <v>22199.0295</v>
      </c>
      <c r="DY3" t="n">
        <v>20253.7291</v>
      </c>
      <c r="DZ3" t="n">
        <v>20865.4486</v>
      </c>
      <c r="EA3" t="n">
        <v>26634.8058</v>
      </c>
      <c r="EC3" t="inlineStr">
        <is>
          <t>$/mi (x)</t>
        </is>
      </c>
      <c r="ED3" t="inlineStr">
        <is>
          <t>ev</t>
        </is>
      </c>
      <c r="EE3" t="inlineStr">
        <is>
          <t>gas</t>
        </is>
      </c>
      <c r="EF3" t="inlineStr">
        <is>
          <t>hybrid</t>
        </is>
      </c>
      <c r="EG3" t="inlineStr">
        <is>
          <t>phev</t>
        </is>
      </c>
      <c r="EO3" t="inlineStr">
        <is>
          <t>$/seat-mi (x)</t>
        </is>
      </c>
      <c r="EP3" t="inlineStr">
        <is>
          <t>4 seats</t>
        </is>
      </c>
      <c r="EQ3" t="inlineStr">
        <is>
          <t>5 seats</t>
        </is>
      </c>
      <c r="ER3" t="inlineStr">
        <is>
          <t>6 seats</t>
        </is>
      </c>
      <c r="ES3" t="inlineStr">
        <is>
          <t>7 seats</t>
        </is>
      </c>
      <c r="ET3" t="inlineStr">
        <is>
          <t>8 seats</t>
        </is>
      </c>
      <c r="EW3" t="inlineStr">
        <is>
          <t>Vehicle</t>
        </is>
      </c>
      <c r="EX3" t="inlineStr">
        <is>
          <t>base (to P05)</t>
        </is>
      </c>
      <c r="EY3" t="inlineStr">
        <is>
          <t>P05→P50</t>
        </is>
      </c>
      <c r="EZ3" t="inlineStr">
        <is>
          <t>P50→P95</t>
        </is>
      </c>
    </row>
    <row r="4">
      <c r="BH4" t="n">
        <v>40000</v>
      </c>
      <c r="BI4" t="n">
        <v>17099.2056</v>
      </c>
      <c r="BJ4" t="n">
        <v>17075.0297</v>
      </c>
      <c r="BK4" t="n">
        <v>20995.6781</v>
      </c>
      <c r="BL4" t="n">
        <v>18896.6433</v>
      </c>
      <c r="BM4" t="n">
        <v>20483.1036</v>
      </c>
      <c r="BN4" t="n">
        <v>19471.6746</v>
      </c>
      <c r="BO4" t="n">
        <v>22129.8862</v>
      </c>
      <c r="BP4" t="n">
        <v>17604.6405</v>
      </c>
      <c r="BQ4" t="n">
        <v>20727.3868</v>
      </c>
      <c r="BR4" t="n">
        <v>21090.5503</v>
      </c>
      <c r="BS4" t="n">
        <v>21717.4633</v>
      </c>
      <c r="BT4" t="n">
        <v>22373.5785</v>
      </c>
      <c r="BU4" t="n">
        <v>24163.8111</v>
      </c>
      <c r="BV4" t="n">
        <v>23612.8668</v>
      </c>
      <c r="BW4" t="n">
        <v>20508.2882</v>
      </c>
      <c r="BX4" t="n">
        <v>22364.7124</v>
      </c>
      <c r="BY4" t="n">
        <v>21924.863</v>
      </c>
      <c r="BZ4" t="n">
        <v>24152.1069</v>
      </c>
      <c r="CA4" t="n">
        <v>20662.9222</v>
      </c>
      <c r="CB4" t="n">
        <v>23941.2254</v>
      </c>
      <c r="CC4" t="n">
        <v>22735.8508</v>
      </c>
      <c r="CD4" t="n">
        <v>25582.9758</v>
      </c>
      <c r="CE4" t="n">
        <v>22013.733</v>
      </c>
      <c r="CF4" t="n">
        <v>22989.7175</v>
      </c>
      <c r="CG4" t="n">
        <v>22690.4197</v>
      </c>
      <c r="CH4" t="n">
        <v>22057.306</v>
      </c>
      <c r="CI4" t="n">
        <v>25688.1973</v>
      </c>
      <c r="CJ4" t="n">
        <v>28712.7671</v>
      </c>
      <c r="CK4" t="n">
        <v>23903.4563</v>
      </c>
      <c r="CL4" t="n">
        <v>23385.3378</v>
      </c>
      <c r="CM4" t="n">
        <v>28412.0719</v>
      </c>
      <c r="CN4" t="n">
        <v>30506.6703</v>
      </c>
      <c r="CO4" t="n">
        <v>24113.5642</v>
      </c>
      <c r="CP4" t="n">
        <v>22568.0242</v>
      </c>
      <c r="CQ4" t="n">
        <v>28648.3613</v>
      </c>
      <c r="CR4" t="n">
        <v>24988.0194</v>
      </c>
      <c r="CS4" t="n">
        <v>24023.5625</v>
      </c>
      <c r="CT4" t="n">
        <v>23930.1653</v>
      </c>
      <c r="CU4" t="n">
        <v>25871.8098</v>
      </c>
      <c r="CV4" t="n">
        <v>24212.6228</v>
      </c>
      <c r="CW4" t="n">
        <v>24258.0144</v>
      </c>
      <c r="CX4" t="n">
        <v>29423.4572</v>
      </c>
      <c r="CY4" t="n">
        <v>23969.3163</v>
      </c>
      <c r="CZ4" t="n">
        <v>34528.9109</v>
      </c>
      <c r="DA4" t="n">
        <v>27631.6659</v>
      </c>
      <c r="DB4" t="n">
        <v>26184.169</v>
      </c>
      <c r="DC4" t="n">
        <v>25508.9627</v>
      </c>
      <c r="DD4" t="n">
        <v>25958.7979</v>
      </c>
      <c r="DE4" t="n">
        <v>26257.3093</v>
      </c>
      <c r="DF4" t="n">
        <v>27943.2153</v>
      </c>
      <c r="DG4" t="n">
        <v>28155.6864</v>
      </c>
      <c r="DH4" t="n">
        <v>29380.7344</v>
      </c>
      <c r="DI4" t="n">
        <v>27123.9376</v>
      </c>
      <c r="DJ4" t="n">
        <v>36215.2191</v>
      </c>
      <c r="DK4" t="n">
        <v>31289.7098</v>
      </c>
      <c r="DL4" t="n">
        <v>26086.4604</v>
      </c>
      <c r="DM4" t="n">
        <v>29748.3379</v>
      </c>
      <c r="DN4" t="n">
        <v>31805.5889</v>
      </c>
      <c r="DO4" t="n">
        <v>33260.7829</v>
      </c>
      <c r="DP4" t="n">
        <v>27912.6745</v>
      </c>
      <c r="DQ4" t="n">
        <v>29633.8095</v>
      </c>
      <c r="DR4" t="n">
        <v>29093.7642</v>
      </c>
      <c r="DS4" t="n">
        <v>28382.4126</v>
      </c>
      <c r="DT4" t="n">
        <v>32363.592</v>
      </c>
      <c r="DU4" t="n">
        <v>38121.5116</v>
      </c>
      <c r="DV4" t="n">
        <v>33506.736</v>
      </c>
      <c r="DW4" t="n">
        <v>34299.7169</v>
      </c>
      <c r="DX4" t="n">
        <v>39513.9577</v>
      </c>
      <c r="DY4" t="n">
        <v>35905.1326</v>
      </c>
      <c r="DZ4" t="n">
        <v>38105.2163</v>
      </c>
      <c r="EA4" t="n">
        <v>47796.802</v>
      </c>
      <c r="EC4" t="n">
        <v>0.315</v>
      </c>
      <c r="ED4" t="n">
        <v>0.056</v>
      </c>
      <c r="EO4" t="n">
        <v>0.1086</v>
      </c>
      <c r="EP4" t="n">
        <v>30</v>
      </c>
      <c r="EW4" t="inlineStr">
        <is>
          <t>Buick Encore  [tier 4]</t>
        </is>
      </c>
      <c r="EX4" t="n">
        <v>0.419</v>
      </c>
      <c r="EY4" t="n">
        <v>0.032</v>
      </c>
      <c r="EZ4" t="n">
        <v>0.049</v>
      </c>
    </row>
    <row r="5">
      <c r="BH5" t="n">
        <v>60000</v>
      </c>
      <c r="BI5" t="n">
        <v>23849.2385</v>
      </c>
      <c r="BJ5" t="n">
        <v>23983.9833</v>
      </c>
      <c r="BK5" t="n">
        <v>30098.5692</v>
      </c>
      <c r="BL5" t="n">
        <v>26826.1878</v>
      </c>
      <c r="BM5" t="n">
        <v>29199.4747</v>
      </c>
      <c r="BN5" t="n">
        <v>27879.2306</v>
      </c>
      <c r="BO5" t="n">
        <v>31783.3832</v>
      </c>
      <c r="BP5" t="n">
        <v>25050.6918</v>
      </c>
      <c r="BQ5" t="n">
        <v>29190.4305</v>
      </c>
      <c r="BR5" t="n">
        <v>29739.7629</v>
      </c>
      <c r="BS5" t="n">
        <v>30456.9784</v>
      </c>
      <c r="BT5" t="n">
        <v>31033.9089</v>
      </c>
      <c r="BU5" t="n">
        <v>33623.574</v>
      </c>
      <c r="BV5" t="n">
        <v>33524.2897</v>
      </c>
      <c r="BW5" t="n">
        <v>29387.6766</v>
      </c>
      <c r="BX5" t="n">
        <v>31500.2973</v>
      </c>
      <c r="BY5" t="n">
        <v>30561.2203</v>
      </c>
      <c r="BZ5" t="n">
        <v>32994.0235</v>
      </c>
      <c r="CA5" t="n">
        <v>29402.1079</v>
      </c>
      <c r="CB5" t="n">
        <v>33834.0811</v>
      </c>
      <c r="CC5" t="n">
        <v>31872.0038</v>
      </c>
      <c r="CD5" t="n">
        <v>35146.5131</v>
      </c>
      <c r="CE5" t="n">
        <v>31076.0919</v>
      </c>
      <c r="CF5" t="n">
        <v>32071.0247</v>
      </c>
      <c r="CG5" t="n">
        <v>31826.0436</v>
      </c>
      <c r="CH5" t="n">
        <v>31315.2049</v>
      </c>
      <c r="CI5" t="n">
        <v>35772.2954</v>
      </c>
      <c r="CJ5" t="n">
        <v>39645.5151</v>
      </c>
      <c r="CK5" t="n">
        <v>34355.3444</v>
      </c>
      <c r="CL5" t="n">
        <v>33907.0256</v>
      </c>
      <c r="CM5" t="n">
        <v>39756.5725</v>
      </c>
      <c r="CN5" t="n">
        <v>42861.9183</v>
      </c>
      <c r="CO5" t="n">
        <v>33760.2133</v>
      </c>
      <c r="CP5" t="n">
        <v>32692.2643</v>
      </c>
      <c r="CQ5" t="n">
        <v>40157.6357</v>
      </c>
      <c r="CR5" t="n">
        <v>34909.5808</v>
      </c>
      <c r="CS5" t="n">
        <v>34125.3766</v>
      </c>
      <c r="CT5" t="n">
        <v>33708.06</v>
      </c>
      <c r="CU5" t="n">
        <v>36281.1155</v>
      </c>
      <c r="CV5" t="n">
        <v>34359.6168</v>
      </c>
      <c r="CW5" t="n">
        <v>34316.6612</v>
      </c>
      <c r="CX5" t="n">
        <v>40831.3379</v>
      </c>
      <c r="CY5" t="n">
        <v>33745.9837</v>
      </c>
      <c r="CZ5" t="n">
        <v>47995.2746</v>
      </c>
      <c r="DA5" t="n">
        <v>38986.8034</v>
      </c>
      <c r="DB5" t="n">
        <v>37279.2421</v>
      </c>
      <c r="DC5" t="n">
        <v>36170.6169</v>
      </c>
      <c r="DD5" t="n">
        <v>36390.1553</v>
      </c>
      <c r="DE5" t="n">
        <v>36588.5612</v>
      </c>
      <c r="DF5" t="n">
        <v>39056.2495</v>
      </c>
      <c r="DG5" t="n">
        <v>39718.2895</v>
      </c>
      <c r="DH5" t="n">
        <v>41194.882</v>
      </c>
      <c r="DI5" t="n">
        <v>38050.1548</v>
      </c>
      <c r="DJ5" t="n">
        <v>50596.0117</v>
      </c>
      <c r="DK5" t="n">
        <v>43543.9138</v>
      </c>
      <c r="DL5" t="n">
        <v>37415.3048</v>
      </c>
      <c r="DM5" t="n">
        <v>42060.6357</v>
      </c>
      <c r="DN5" t="n">
        <v>44220.347</v>
      </c>
      <c r="DO5" t="n">
        <v>43189.3865</v>
      </c>
      <c r="DP5" t="n">
        <v>40157.0883</v>
      </c>
      <c r="DQ5" t="n">
        <v>41398.2129</v>
      </c>
      <c r="DR5" t="n">
        <v>41385.6307</v>
      </c>
      <c r="DS5" t="n">
        <v>39872.3916</v>
      </c>
      <c r="DT5" t="n">
        <v>45173.1887</v>
      </c>
      <c r="DU5" t="n">
        <v>52860.4034</v>
      </c>
      <c r="DV5" t="n">
        <v>45896.4307</v>
      </c>
      <c r="DW5" t="n">
        <v>47044.1472</v>
      </c>
      <c r="DX5" t="n">
        <v>54765.379</v>
      </c>
      <c r="DY5" t="n">
        <v>50606.1648</v>
      </c>
      <c r="DZ5" t="n">
        <v>54142.3696</v>
      </c>
      <c r="EA5" t="n">
        <v>67383.8744</v>
      </c>
      <c r="EC5" t="n">
        <v>0.386</v>
      </c>
      <c r="ED5" t="n">
        <v>0.067</v>
      </c>
      <c r="EO5" t="n">
        <v>0.1234</v>
      </c>
      <c r="EP5" t="n">
        <v>34</v>
      </c>
      <c r="EW5" t="inlineStr">
        <is>
          <t>VW Passat  [tier 4]</t>
        </is>
      </c>
      <c r="EX5" t="n">
        <v>0.412</v>
      </c>
      <c r="EY5" t="n">
        <v>0.035</v>
      </c>
      <c r="EZ5" t="n">
        <v>0.06</v>
      </c>
    </row>
    <row r="6">
      <c r="BH6" t="n">
        <v>80000</v>
      </c>
      <c r="BI6" t="n">
        <v>30231.2934</v>
      </c>
      <c r="BJ6" t="n">
        <v>30660.645</v>
      </c>
      <c r="BK6" t="n">
        <v>38255.435</v>
      </c>
      <c r="BL6" t="n">
        <v>34085.9883</v>
      </c>
      <c r="BM6" t="n">
        <v>37395.9266</v>
      </c>
      <c r="BN6" t="n">
        <v>35655.7716</v>
      </c>
      <c r="BO6" t="n">
        <v>40221.2137</v>
      </c>
      <c r="BP6" t="n">
        <v>32258.7735</v>
      </c>
      <c r="BQ6" t="n">
        <v>37144.6655</v>
      </c>
      <c r="BR6" t="n">
        <v>37813.8582</v>
      </c>
      <c r="BS6" t="n">
        <v>38536.3778</v>
      </c>
      <c r="BT6" t="n">
        <v>38616.529</v>
      </c>
      <c r="BU6" t="n">
        <v>42174.0857</v>
      </c>
      <c r="BV6" t="n">
        <v>42314.295</v>
      </c>
      <c r="BW6" t="n">
        <v>37138.2336</v>
      </c>
      <c r="BX6" t="n">
        <v>40427.3154</v>
      </c>
      <c r="BY6" t="n">
        <v>39111.4724</v>
      </c>
      <c r="BZ6" t="n">
        <v>41563.2919</v>
      </c>
      <c r="CA6" t="n">
        <v>36968.7656</v>
      </c>
      <c r="CB6" t="n">
        <v>42654.7879</v>
      </c>
      <c r="CC6" t="n">
        <v>40793.5851</v>
      </c>
      <c r="CD6" t="n">
        <v>44315.8292</v>
      </c>
      <c r="CE6" t="n">
        <v>39761.9463</v>
      </c>
      <c r="CF6" t="n">
        <v>40866.387</v>
      </c>
      <c r="CG6" t="n">
        <v>40487.8602</v>
      </c>
      <c r="CH6" t="n">
        <v>39864.938</v>
      </c>
      <c r="CI6" t="n">
        <v>44468.823</v>
      </c>
      <c r="CJ6" t="n">
        <v>49602.2786</v>
      </c>
      <c r="CK6" t="n">
        <v>43341.7549</v>
      </c>
      <c r="CL6" t="n">
        <v>43765.7128</v>
      </c>
      <c r="CM6" t="n">
        <v>48041.5357</v>
      </c>
      <c r="CN6" t="n">
        <v>53999.395</v>
      </c>
      <c r="CO6" t="n">
        <v>42337.6381</v>
      </c>
      <c r="CP6" t="n">
        <v>42587.8351</v>
      </c>
      <c r="CQ6" t="n">
        <v>50363.5164</v>
      </c>
      <c r="CR6" t="n">
        <v>44456.0098</v>
      </c>
      <c r="CS6" t="n">
        <v>44172.4099</v>
      </c>
      <c r="CT6" t="n">
        <v>42415.0961</v>
      </c>
      <c r="CU6" t="n">
        <v>46189.737</v>
      </c>
      <c r="CV6" t="n">
        <v>43543.9993</v>
      </c>
      <c r="CW6" t="n">
        <v>43460.7542</v>
      </c>
      <c r="CX6" t="n">
        <v>50813.6382</v>
      </c>
      <c r="CY6" t="n">
        <v>44210.6915</v>
      </c>
      <c r="CZ6" t="n">
        <v>60429.2388</v>
      </c>
      <c r="DA6" t="n">
        <v>49166.2957</v>
      </c>
      <c r="DB6" t="n">
        <v>47035.9404</v>
      </c>
      <c r="DC6" t="n">
        <v>45576.0832</v>
      </c>
      <c r="DD6" t="n">
        <v>45180.299</v>
      </c>
      <c r="DE6" t="n">
        <v>45193.3842</v>
      </c>
      <c r="DF6" t="n">
        <v>49364.8164</v>
      </c>
      <c r="DG6" t="n">
        <v>50628.953</v>
      </c>
      <c r="DH6" t="n">
        <v>51756.9239</v>
      </c>
      <c r="DI6" t="n">
        <v>48387.1205</v>
      </c>
      <c r="DJ6" t="n">
        <v>63384.4926</v>
      </c>
      <c r="DK6" t="n">
        <v>54777.8991</v>
      </c>
      <c r="DL6" t="n">
        <v>47809.6766</v>
      </c>
      <c r="DM6" t="n">
        <v>53764.7644</v>
      </c>
      <c r="DN6" t="n">
        <v>55599.0146</v>
      </c>
      <c r="DO6" t="n">
        <v>52361.8023</v>
      </c>
      <c r="DP6" t="n">
        <v>50895.1495</v>
      </c>
      <c r="DQ6" t="n">
        <v>51177.1267</v>
      </c>
      <c r="DR6" t="n">
        <v>51978.0386</v>
      </c>
      <c r="DS6" t="n">
        <v>50070.65</v>
      </c>
      <c r="DT6" t="n">
        <v>56926.5982</v>
      </c>
      <c r="DU6" t="n">
        <v>66211.4898</v>
      </c>
      <c r="DV6" t="n">
        <v>57010.0849</v>
      </c>
      <c r="DW6" t="n">
        <v>57969.5014</v>
      </c>
      <c r="DX6" t="n">
        <v>68303.9065</v>
      </c>
      <c r="DY6" t="n">
        <v>63558.4745</v>
      </c>
      <c r="DZ6" t="n">
        <v>71144.6686</v>
      </c>
      <c r="EA6" t="n">
        <v>88140.0006</v>
      </c>
      <c r="EC6" t="n">
        <v>0.413</v>
      </c>
      <c r="ED6" t="n">
        <v>0.064</v>
      </c>
      <c r="EO6" t="n">
        <v>0.0631</v>
      </c>
      <c r="EQ6" t="n">
        <v>57</v>
      </c>
      <c r="EW6" t="inlineStr">
        <is>
          <t>Kia Soul  [tier 3]</t>
        </is>
      </c>
      <c r="EX6" t="n">
        <v>0.406</v>
      </c>
      <c r="EY6" t="n">
        <v>0.034</v>
      </c>
      <c r="EZ6" t="n">
        <v>0.053</v>
      </c>
    </row>
    <row r="7">
      <c r="BH7" t="n">
        <v>100000</v>
      </c>
      <c r="BI7" t="n">
        <v>36154.4192</v>
      </c>
      <c r="BJ7" t="n">
        <v>36968.6784</v>
      </c>
      <c r="BK7" t="n">
        <v>45485.7783</v>
      </c>
      <c r="BL7" t="n">
        <v>40638.6019</v>
      </c>
      <c r="BM7" t="n">
        <v>44825.1545</v>
      </c>
      <c r="BN7" t="n">
        <v>42750.2597</v>
      </c>
      <c r="BO7" t="n">
        <v>48054.8429</v>
      </c>
      <c r="BP7" t="n">
        <v>38861.8552</v>
      </c>
      <c r="BQ7" t="n">
        <v>44442.5936</v>
      </c>
      <c r="BR7" t="n">
        <v>45341.0661</v>
      </c>
      <c r="BS7" t="n">
        <v>45854.5862</v>
      </c>
      <c r="BT7" t="n">
        <v>45476.3905</v>
      </c>
      <c r="BU7" t="n">
        <v>49767.7515</v>
      </c>
      <c r="BV7" t="n">
        <v>50673.9709</v>
      </c>
      <c r="BW7" t="n">
        <v>44015.4518</v>
      </c>
      <c r="BX7" t="n">
        <v>48169.7077</v>
      </c>
      <c r="BY7" t="n">
        <v>46645.6393</v>
      </c>
      <c r="BZ7" t="n">
        <v>49505.8388</v>
      </c>
      <c r="CA7" t="n">
        <v>45263.6085</v>
      </c>
      <c r="CB7" t="n">
        <v>50633.9093</v>
      </c>
      <c r="CC7" t="n">
        <v>48871.3186</v>
      </c>
      <c r="CD7" t="n">
        <v>52964.708</v>
      </c>
      <c r="CE7" t="n">
        <v>47210.8966</v>
      </c>
      <c r="CF7" t="n">
        <v>49163.4317</v>
      </c>
      <c r="CG7" t="n">
        <v>48313.0179</v>
      </c>
      <c r="CH7" t="n">
        <v>47226.6356</v>
      </c>
      <c r="CI7" t="n">
        <v>52403.4434</v>
      </c>
      <c r="CJ7" t="n">
        <v>58188.2796</v>
      </c>
      <c r="CK7" t="n">
        <v>51516.526</v>
      </c>
      <c r="CL7" t="n">
        <v>52312.2177</v>
      </c>
      <c r="CM7" t="n">
        <v>55085.63</v>
      </c>
      <c r="CN7" t="n">
        <v>63759.7197</v>
      </c>
      <c r="CO7" t="n">
        <v>50680.0406</v>
      </c>
      <c r="CP7" t="n">
        <v>51193.6997</v>
      </c>
      <c r="CQ7" t="n">
        <v>59624.5133</v>
      </c>
      <c r="CR7" t="n">
        <v>53232.8285</v>
      </c>
      <c r="CS7" t="n">
        <v>53976.4666</v>
      </c>
      <c r="CT7" t="n">
        <v>50418.5624</v>
      </c>
      <c r="CU7" t="n">
        <v>54920.3063</v>
      </c>
      <c r="CV7" t="n">
        <v>51214.3915</v>
      </c>
      <c r="CW7" t="n">
        <v>51650.4557</v>
      </c>
      <c r="CX7" t="n">
        <v>59779.1025</v>
      </c>
      <c r="CY7" t="n">
        <v>53760.5383</v>
      </c>
      <c r="CZ7" t="n">
        <v>71555.9526</v>
      </c>
      <c r="DA7" t="n">
        <v>57425.9063</v>
      </c>
      <c r="DB7" t="n">
        <v>55373.2471</v>
      </c>
      <c r="DC7" t="n">
        <v>53448.0823</v>
      </c>
      <c r="DD7" t="n">
        <v>53181.8809</v>
      </c>
      <c r="DE7" t="n">
        <v>52831.0429</v>
      </c>
      <c r="DF7" t="n">
        <v>58587.1508</v>
      </c>
      <c r="DG7" t="n">
        <v>60562.237</v>
      </c>
      <c r="DH7" t="n">
        <v>61019.068</v>
      </c>
      <c r="DI7" t="n">
        <v>57893.1042</v>
      </c>
      <c r="DJ7" t="n">
        <v>74789.6177</v>
      </c>
      <c r="DK7" t="n">
        <v>64762.4578</v>
      </c>
      <c r="DL7" t="n">
        <v>56489.3442</v>
      </c>
      <c r="DM7" t="n">
        <v>63672.7884</v>
      </c>
      <c r="DN7" t="n">
        <v>65713.95299999999</v>
      </c>
      <c r="DO7" t="n">
        <v>61419.3808</v>
      </c>
      <c r="DP7" t="n">
        <v>60186.3647</v>
      </c>
      <c r="DQ7" t="n">
        <v>59860.9092</v>
      </c>
      <c r="DR7" t="n">
        <v>61496.1998</v>
      </c>
      <c r="DS7" t="n">
        <v>59542.9395</v>
      </c>
      <c r="DT7" t="n">
        <v>67198.8995</v>
      </c>
      <c r="DU7" t="n">
        <v>78259.023</v>
      </c>
      <c r="DV7" t="n">
        <v>66228.10920000001</v>
      </c>
      <c r="DW7" t="n">
        <v>67076.4365</v>
      </c>
      <c r="DX7" t="n">
        <v>80594.6349</v>
      </c>
      <c r="DY7" t="n">
        <v>74458.69319999999</v>
      </c>
      <c r="DZ7" t="n">
        <v>88930.8357</v>
      </c>
      <c r="EA7" t="n">
        <v>110175.0008</v>
      </c>
      <c r="EC7" t="n">
        <v>0.438</v>
      </c>
      <c r="ED7" t="n">
        <v>0.066</v>
      </c>
      <c r="EO7" t="n">
        <v>0.06710000000000001</v>
      </c>
      <c r="EQ7" t="n">
        <v>30</v>
      </c>
      <c r="EW7" t="inlineStr">
        <is>
          <t>Toyota RAV4 Prime  [tier 3]</t>
        </is>
      </c>
      <c r="EX7" t="n">
        <v>0.402</v>
      </c>
      <c r="EY7" t="n">
        <v>0.039</v>
      </c>
      <c r="EZ7" t="n">
        <v>0.043</v>
      </c>
    </row>
    <row r="8">
      <c r="BH8" t="n">
        <v>120000</v>
      </c>
      <c r="BI8" t="n">
        <v>41618.9519</v>
      </c>
      <c r="BJ8" t="n">
        <v>42717.6848</v>
      </c>
      <c r="BK8" t="n">
        <v>51720.2965</v>
      </c>
      <c r="BL8" t="n">
        <v>46575.1206</v>
      </c>
      <c r="BM8" t="n">
        <v>51580.7326</v>
      </c>
      <c r="BN8" t="n">
        <v>49099.0667</v>
      </c>
      <c r="BO8" t="n">
        <v>55121.4714</v>
      </c>
      <c r="BP8" t="n">
        <v>46634.2262</v>
      </c>
      <c r="BQ8" t="n">
        <v>51062.2546</v>
      </c>
      <c r="BR8" t="n">
        <v>52168.8558</v>
      </c>
      <c r="BS8" t="n">
        <v>53163.7624</v>
      </c>
      <c r="BT8" t="n">
        <v>51282.666</v>
      </c>
      <c r="BU8" t="n">
        <v>56761.4616</v>
      </c>
      <c r="BV8" t="n">
        <v>58108.5823</v>
      </c>
      <c r="BW8" t="n">
        <v>49700.6915</v>
      </c>
      <c r="BX8" t="n">
        <v>55338.3125</v>
      </c>
      <c r="BY8" t="n">
        <v>52725.5476</v>
      </c>
      <c r="BZ8" t="n">
        <v>56787.666</v>
      </c>
      <c r="CA8" t="n">
        <v>52531.405</v>
      </c>
      <c r="CB8" t="n">
        <v>58059.0316</v>
      </c>
      <c r="CC8" t="n">
        <v>56280.8709</v>
      </c>
      <c r="CD8" t="n">
        <v>60660.1909</v>
      </c>
      <c r="CE8" t="n">
        <v>53016.8742</v>
      </c>
      <c r="CF8" t="n">
        <v>55557.6908</v>
      </c>
      <c r="CG8" t="n">
        <v>54535.8436</v>
      </c>
      <c r="CH8" t="n">
        <v>53674.2523</v>
      </c>
      <c r="CI8" t="n">
        <v>59533.7978</v>
      </c>
      <c r="CJ8" t="n">
        <v>65849.9693</v>
      </c>
      <c r="CK8" t="n">
        <v>59033.7298</v>
      </c>
      <c r="CL8" t="n">
        <v>60054.5259</v>
      </c>
      <c r="CM8" t="n">
        <v>61609.2773</v>
      </c>
      <c r="CN8" t="n">
        <v>72460.321</v>
      </c>
      <c r="CO8" t="n">
        <v>58339.6478</v>
      </c>
      <c r="CP8" t="n">
        <v>58716.7287</v>
      </c>
      <c r="CQ8" t="n">
        <v>68039.8302</v>
      </c>
      <c r="CR8" t="n">
        <v>60790.7109</v>
      </c>
      <c r="CS8" t="n">
        <v>63132.0924</v>
      </c>
      <c r="CT8" t="n">
        <v>59215.9762</v>
      </c>
      <c r="CU8" t="n">
        <v>62070.0274</v>
      </c>
      <c r="CV8" t="n">
        <v>59771.6152</v>
      </c>
      <c r="CW8" t="n">
        <v>60900.7107</v>
      </c>
      <c r="CX8" t="n">
        <v>67943.25689999999</v>
      </c>
      <c r="CY8" t="n">
        <v>61663.2149</v>
      </c>
      <c r="CZ8" t="n">
        <v>81333.5711</v>
      </c>
      <c r="DA8" t="n">
        <v>64776.0417</v>
      </c>
      <c r="DB8" t="n">
        <v>62553.9371</v>
      </c>
      <c r="DC8" t="n">
        <v>62280.3358</v>
      </c>
      <c r="DD8" t="n">
        <v>60691.9726</v>
      </c>
      <c r="DE8" t="n">
        <v>61533.1738</v>
      </c>
      <c r="DF8" t="n">
        <v>66234.8645</v>
      </c>
      <c r="DG8" t="n">
        <v>69644.78750000001</v>
      </c>
      <c r="DH8" t="n">
        <v>69177.0333</v>
      </c>
      <c r="DI8" t="n">
        <v>66229.4503</v>
      </c>
      <c r="DJ8" t="n">
        <v>84987.417</v>
      </c>
      <c r="DK8" t="n">
        <v>72781.3226</v>
      </c>
      <c r="DL8" t="n">
        <v>67692.0013</v>
      </c>
      <c r="DM8" t="n">
        <v>72854.90059999999</v>
      </c>
      <c r="DN8" t="n">
        <v>73850.30869999999</v>
      </c>
      <c r="DO8" t="n">
        <v>69820.41899999999</v>
      </c>
      <c r="DP8" t="n">
        <v>69274.29150000001</v>
      </c>
      <c r="DQ8" t="n">
        <v>67988.3749</v>
      </c>
      <c r="DR8" t="n">
        <v>70672.7589</v>
      </c>
      <c r="DS8" t="n">
        <v>71451.52740000001</v>
      </c>
      <c r="DT8" t="n">
        <v>75616.5143</v>
      </c>
      <c r="DU8" t="n">
        <v>88780.78969999999</v>
      </c>
      <c r="DV8" t="n">
        <v>74856.78170000001</v>
      </c>
      <c r="DW8" t="n">
        <v>75632.4032</v>
      </c>
      <c r="DX8" t="n">
        <v>91529.0258</v>
      </c>
      <c r="DY8" t="n">
        <v>83715.3217</v>
      </c>
      <c r="DZ8" t="n">
        <v>106717.0028</v>
      </c>
      <c r="EA8" t="n">
        <v>132210.0009</v>
      </c>
      <c r="EC8" t="n">
        <v>0.368</v>
      </c>
      <c r="EE8" t="n">
        <v>0.025</v>
      </c>
      <c r="EO8" t="n">
        <v>0.0706</v>
      </c>
      <c r="EQ8" t="n">
        <v>50</v>
      </c>
      <c r="EW8" t="inlineStr">
        <is>
          <t>VW ID.4 (AWD avail)  [tier 3]</t>
        </is>
      </c>
      <c r="EX8" t="n">
        <v>0.389</v>
      </c>
      <c r="EY8" t="n">
        <v>0.048</v>
      </c>
      <c r="EZ8" t="n">
        <v>0.092</v>
      </c>
    </row>
    <row r="9">
      <c r="BH9" t="n">
        <v>140000</v>
      </c>
      <c r="BI9" t="n">
        <v>46710.924</v>
      </c>
      <c r="BJ9" t="n">
        <v>48035.4022</v>
      </c>
      <c r="BK9" t="n">
        <v>57447.2739</v>
      </c>
      <c r="BL9" t="n">
        <v>51809.6241</v>
      </c>
      <c r="BM9" t="n">
        <v>57707.7103</v>
      </c>
      <c r="BN9" t="n">
        <v>54921.5875</v>
      </c>
      <c r="BO9" t="n">
        <v>61519.4186</v>
      </c>
      <c r="BP9" t="n">
        <v>54406.5972</v>
      </c>
      <c r="BQ9" t="n">
        <v>56073.5476</v>
      </c>
      <c r="BR9" t="n">
        <v>58373.95</v>
      </c>
      <c r="BS9" t="n">
        <v>59652.4587</v>
      </c>
      <c r="BT9" t="n">
        <v>56374.65</v>
      </c>
      <c r="BU9" t="n">
        <v>63321.266</v>
      </c>
      <c r="BV9" t="n">
        <v>64513.2444</v>
      </c>
      <c r="BW9" t="n">
        <v>55060.2769</v>
      </c>
      <c r="BX9" t="n">
        <v>62125.7842</v>
      </c>
      <c r="BY9" t="n">
        <v>58758.6664</v>
      </c>
      <c r="BZ9" t="n">
        <v>63463.5136</v>
      </c>
      <c r="CA9" t="n">
        <v>61286.6392</v>
      </c>
      <c r="CB9" t="n">
        <v>64816.8344</v>
      </c>
      <c r="CC9" t="n">
        <v>63169.5684</v>
      </c>
      <c r="CD9" t="n">
        <v>67592.8321</v>
      </c>
      <c r="CE9" t="n">
        <v>61014.1316</v>
      </c>
      <c r="CF9" t="n">
        <v>62284.4281</v>
      </c>
      <c r="CG9" t="n">
        <v>62602.0856</v>
      </c>
      <c r="CH9" t="n">
        <v>62619.961</v>
      </c>
      <c r="CI9" t="n">
        <v>66033.5203</v>
      </c>
      <c r="CJ9" t="n">
        <v>71901.92230000001</v>
      </c>
      <c r="CK9" t="n">
        <v>66568.3682</v>
      </c>
      <c r="CL9" t="n">
        <v>67206.9234</v>
      </c>
      <c r="CM9" t="n">
        <v>67654.41499999999</v>
      </c>
      <c r="CN9" t="n">
        <v>80200.00599999999</v>
      </c>
      <c r="CO9" t="n">
        <v>68062.9224</v>
      </c>
      <c r="CP9" t="n">
        <v>68415.9999</v>
      </c>
      <c r="CQ9" t="n">
        <v>74970.5799</v>
      </c>
      <c r="CR9" t="n">
        <v>68920.00569999999</v>
      </c>
      <c r="CS9" t="n">
        <v>71734.7769</v>
      </c>
      <c r="CT9" t="n">
        <v>69085.30560000001</v>
      </c>
      <c r="CU9" t="n">
        <v>69637.38710000001</v>
      </c>
      <c r="CV9" t="n">
        <v>69733.5511</v>
      </c>
      <c r="CW9" t="n">
        <v>71050.8291</v>
      </c>
      <c r="CX9" t="n">
        <v>75386.04090000001</v>
      </c>
      <c r="CY9" t="n">
        <v>71940.41740000001</v>
      </c>
      <c r="CZ9" t="n">
        <v>90197.0797</v>
      </c>
      <c r="DA9" t="n">
        <v>71630.6142</v>
      </c>
      <c r="DB9" t="n">
        <v>71948.5059</v>
      </c>
      <c r="DC9" t="n">
        <v>72660.39169999999</v>
      </c>
      <c r="DD9" t="n">
        <v>70057.7939</v>
      </c>
      <c r="DE9" t="n">
        <v>71788.7028</v>
      </c>
      <c r="DF9" t="n">
        <v>75175.7804</v>
      </c>
      <c r="DG9" t="n">
        <v>77966.0621</v>
      </c>
      <c r="DH9" t="n">
        <v>75933.1091</v>
      </c>
      <c r="DI9" t="n">
        <v>77176.1364</v>
      </c>
      <c r="DJ9" t="n">
        <v>94127.617</v>
      </c>
      <c r="DK9" t="n">
        <v>79884.94680000001</v>
      </c>
      <c r="DL9" t="n">
        <v>78974.0015</v>
      </c>
      <c r="DM9" t="n">
        <v>81343.0235</v>
      </c>
      <c r="DN9" t="n">
        <v>81059.80899999999</v>
      </c>
      <c r="DO9" t="n">
        <v>77657.7249</v>
      </c>
      <c r="DP9" t="n">
        <v>80820.0067</v>
      </c>
      <c r="DQ9" t="n">
        <v>78367.2208</v>
      </c>
      <c r="DR9" t="n">
        <v>82451.552</v>
      </c>
      <c r="DS9" t="n">
        <v>83360.1153</v>
      </c>
      <c r="DT9" t="n">
        <v>84572.52899999999</v>
      </c>
      <c r="DU9" t="n">
        <v>98372.5361</v>
      </c>
      <c r="DV9" t="n">
        <v>85127.56170000001</v>
      </c>
      <c r="DW9" t="n">
        <v>84688.3075</v>
      </c>
      <c r="DX9" t="n">
        <v>101405.8169</v>
      </c>
      <c r="DY9" t="n">
        <v>96258.3106</v>
      </c>
      <c r="DZ9" t="n">
        <v>124503.17</v>
      </c>
      <c r="EA9" t="n">
        <v>154245.0011</v>
      </c>
      <c r="EC9" t="n">
        <v>0.385</v>
      </c>
      <c r="EE9" t="n">
        <v>0.024</v>
      </c>
      <c r="EO9" t="n">
        <v>0.0728</v>
      </c>
      <c r="EQ9" t="n">
        <v>20</v>
      </c>
      <c r="EW9" t="inlineStr">
        <is>
          <t>Honda CR-V  [tier 3]</t>
        </is>
      </c>
      <c r="EX9" t="n">
        <v>0.4</v>
      </c>
      <c r="EY9" t="n">
        <v>0.037</v>
      </c>
      <c r="EZ9" t="n">
        <v>0.042</v>
      </c>
    </row>
    <row r="10">
      <c r="BH10" t="n">
        <v>160000</v>
      </c>
      <c r="BI10" t="n">
        <v>51852.219</v>
      </c>
      <c r="BJ10" t="n">
        <v>54385.421</v>
      </c>
      <c r="BK10" t="n">
        <v>62538.0461</v>
      </c>
      <c r="BL10" t="n">
        <v>58440.5602</v>
      </c>
      <c r="BM10" t="n">
        <v>63308.2829</v>
      </c>
      <c r="BN10" t="n">
        <v>59724.2192</v>
      </c>
      <c r="BO10" t="n">
        <v>67318.7913</v>
      </c>
      <c r="BP10" t="n">
        <v>62178.9683</v>
      </c>
      <c r="BQ10" t="n">
        <v>61545.9711</v>
      </c>
      <c r="BR10" t="n">
        <v>63916.0599</v>
      </c>
      <c r="BS10" t="n">
        <v>64614.5982</v>
      </c>
      <c r="BT10" t="n">
        <v>63329.9207</v>
      </c>
      <c r="BU10" t="n">
        <v>69074.2706</v>
      </c>
      <c r="BV10" t="n">
        <v>70349.71610000001</v>
      </c>
      <c r="BW10" t="n">
        <v>62865.6111</v>
      </c>
      <c r="BX10" t="n">
        <v>68405.21890000001</v>
      </c>
      <c r="BY10" t="n">
        <v>67152.7616</v>
      </c>
      <c r="BZ10" t="n">
        <v>69101.7598</v>
      </c>
      <c r="CA10" t="n">
        <v>70041.8734</v>
      </c>
      <c r="CB10" t="n">
        <v>70323.01300000001</v>
      </c>
      <c r="CC10" t="n">
        <v>70833.587</v>
      </c>
      <c r="CD10" t="n">
        <v>73065.4684</v>
      </c>
      <c r="CE10" t="n">
        <v>69730.43610000001</v>
      </c>
      <c r="CF10" t="n">
        <v>71182.20359999999</v>
      </c>
      <c r="CG10" t="n">
        <v>71545.24069999999</v>
      </c>
      <c r="CH10" t="n">
        <v>71565.6698</v>
      </c>
      <c r="CI10" t="n">
        <v>73631.5482</v>
      </c>
      <c r="CJ10" t="n">
        <v>77230.0113</v>
      </c>
      <c r="CK10" t="n">
        <v>76078.1351</v>
      </c>
      <c r="CL10" t="n">
        <v>76018.7404</v>
      </c>
      <c r="CM10" t="n">
        <v>73260.2585</v>
      </c>
      <c r="CN10" t="n">
        <v>87220.1915</v>
      </c>
      <c r="CO10" t="n">
        <v>77786.1971</v>
      </c>
      <c r="CP10" t="n">
        <v>78189.7142</v>
      </c>
      <c r="CQ10" t="n">
        <v>81143.1148</v>
      </c>
      <c r="CR10" t="n">
        <v>78765.7209</v>
      </c>
      <c r="CS10" t="n">
        <v>80055.02370000001</v>
      </c>
      <c r="CT10" t="n">
        <v>78954.63499999999</v>
      </c>
      <c r="CU10" t="n">
        <v>79585.58530000001</v>
      </c>
      <c r="CV10" t="n">
        <v>79695.48699999999</v>
      </c>
      <c r="CW10" t="n">
        <v>81200.9476</v>
      </c>
      <c r="CX10" t="n">
        <v>81663.0079</v>
      </c>
      <c r="CY10" t="n">
        <v>82217.61990000001</v>
      </c>
      <c r="CZ10" t="n">
        <v>98023.7144</v>
      </c>
      <c r="DA10" t="n">
        <v>80871.87910000001</v>
      </c>
      <c r="DB10" t="n">
        <v>82226.8639</v>
      </c>
      <c r="DC10" t="n">
        <v>83040.4477</v>
      </c>
      <c r="DD10" t="n">
        <v>80066.0502</v>
      </c>
      <c r="DE10" t="n">
        <v>82044.2317</v>
      </c>
      <c r="DF10" t="n">
        <v>85915.1776</v>
      </c>
      <c r="DG10" t="n">
        <v>88179.5941</v>
      </c>
      <c r="DH10" t="n">
        <v>86780.6961</v>
      </c>
      <c r="DI10" t="n">
        <v>88201.2987</v>
      </c>
      <c r="DJ10" t="n">
        <v>102449.7676</v>
      </c>
      <c r="DK10" t="n">
        <v>87591.0068</v>
      </c>
      <c r="DL10" t="n">
        <v>90256.00169999999</v>
      </c>
      <c r="DM10" t="n">
        <v>91919.0398</v>
      </c>
      <c r="DN10" t="n">
        <v>88877.8841</v>
      </c>
      <c r="DO10" t="n">
        <v>84973.91099999999</v>
      </c>
      <c r="DP10" t="n">
        <v>92365.72199999999</v>
      </c>
      <c r="DQ10" t="n">
        <v>89562.53810000001</v>
      </c>
      <c r="DR10" t="n">
        <v>94230.3452</v>
      </c>
      <c r="DS10" t="n">
        <v>95268.7032</v>
      </c>
      <c r="DT10" t="n">
        <v>96654.3189</v>
      </c>
      <c r="DU10" t="n">
        <v>107127.176</v>
      </c>
      <c r="DV10" t="n">
        <v>97288.64200000001</v>
      </c>
      <c r="DW10" t="n">
        <v>96786.63710000001</v>
      </c>
      <c r="DX10" t="n">
        <v>110236.3593</v>
      </c>
      <c r="DY10" t="n">
        <v>110009.4978</v>
      </c>
      <c r="DZ10" t="n">
        <v>142289.3371</v>
      </c>
      <c r="EA10" t="n">
        <v>176280.0012</v>
      </c>
      <c r="EC10" t="n">
        <v>0.39</v>
      </c>
      <c r="EE10" t="n">
        <v>0.033</v>
      </c>
      <c r="EO10" t="n">
        <v>0.0737</v>
      </c>
      <c r="EQ10" t="n">
        <v>13</v>
      </c>
      <c r="EW10" t="inlineStr">
        <is>
          <t>Fiat 500  [tier 3]</t>
        </is>
      </c>
      <c r="EX10" t="n">
        <v>0.409</v>
      </c>
      <c r="EY10" t="n">
        <v>0.025</v>
      </c>
      <c r="EZ10" t="n">
        <v>0.062</v>
      </c>
    </row>
    <row r="11">
      <c r="BH11" t="n">
        <v>180000</v>
      </c>
      <c r="BI11" t="n">
        <v>58333.7463</v>
      </c>
      <c r="BJ11" t="n">
        <v>61183.5986</v>
      </c>
      <c r="BK11" t="n">
        <v>66753.13069999999</v>
      </c>
      <c r="BL11" t="n">
        <v>65745.6302</v>
      </c>
      <c r="BM11" t="n">
        <v>68023.4981</v>
      </c>
      <c r="BN11" t="n">
        <v>65710.7356</v>
      </c>
      <c r="BO11" t="n">
        <v>72387.1149</v>
      </c>
      <c r="BP11" t="n">
        <v>69951.33930000001</v>
      </c>
      <c r="BQ11" t="n">
        <v>69239.2175</v>
      </c>
      <c r="BR11" t="n">
        <v>69947.0128</v>
      </c>
      <c r="BS11" t="n">
        <v>70549.4895</v>
      </c>
      <c r="BT11" t="n">
        <v>71246.1608</v>
      </c>
      <c r="BU11" t="n">
        <v>73754.10370000001</v>
      </c>
      <c r="BV11" t="n">
        <v>74893.61749999999</v>
      </c>
      <c r="BW11" t="n">
        <v>70723.8124</v>
      </c>
      <c r="BX11" t="n">
        <v>75519.727</v>
      </c>
      <c r="BY11" t="n">
        <v>75546.8569</v>
      </c>
      <c r="BZ11" t="n">
        <v>77636.38619999999</v>
      </c>
      <c r="CA11" t="n">
        <v>78797.1076</v>
      </c>
      <c r="CB11" t="n">
        <v>77988.3572</v>
      </c>
      <c r="CC11" t="n">
        <v>79687.78539999999</v>
      </c>
      <c r="CD11" t="n">
        <v>77879.08990000001</v>
      </c>
      <c r="CE11" t="n">
        <v>78446.7406</v>
      </c>
      <c r="CF11" t="n">
        <v>80079.97900000001</v>
      </c>
      <c r="CG11" t="n">
        <v>80488.3958</v>
      </c>
      <c r="CH11" t="n">
        <v>80511.37850000001</v>
      </c>
      <c r="CI11" t="n">
        <v>82835.4917</v>
      </c>
      <c r="CJ11" t="n">
        <v>82330.09110000001</v>
      </c>
      <c r="CK11" t="n">
        <v>85587.902</v>
      </c>
      <c r="CL11" t="n">
        <v>85521.083</v>
      </c>
      <c r="CM11" t="n">
        <v>78463.4752</v>
      </c>
      <c r="CN11" t="n">
        <v>93505.4286</v>
      </c>
      <c r="CO11" t="n">
        <v>87509.47169999999</v>
      </c>
      <c r="CP11" t="n">
        <v>87963.42849999999</v>
      </c>
      <c r="CQ11" t="n">
        <v>86990.62940000001</v>
      </c>
      <c r="CR11" t="n">
        <v>88611.436</v>
      </c>
      <c r="CS11" t="n">
        <v>90061.9016</v>
      </c>
      <c r="CT11" t="n">
        <v>88823.96430000001</v>
      </c>
      <c r="CU11" t="n">
        <v>89533.78350000001</v>
      </c>
      <c r="CV11" t="n">
        <v>89657.4228</v>
      </c>
      <c r="CW11" t="n">
        <v>91351.06600000001</v>
      </c>
      <c r="CX11" t="n">
        <v>91870.8839</v>
      </c>
      <c r="CY11" t="n">
        <v>92494.8224</v>
      </c>
      <c r="CZ11" t="n">
        <v>105159.3769</v>
      </c>
      <c r="DA11" t="n">
        <v>90980.864</v>
      </c>
      <c r="DB11" t="n">
        <v>92505.2219</v>
      </c>
      <c r="DC11" t="n">
        <v>93420.5037</v>
      </c>
      <c r="DD11" t="n">
        <v>90074.30650000001</v>
      </c>
      <c r="DE11" t="n">
        <v>92299.7607</v>
      </c>
      <c r="DF11" t="n">
        <v>96654.5748</v>
      </c>
      <c r="DG11" t="n">
        <v>99202.0434</v>
      </c>
      <c r="DH11" t="n">
        <v>97628.28320000001</v>
      </c>
      <c r="DI11" t="n">
        <v>99226.4611</v>
      </c>
      <c r="DJ11" t="n">
        <v>109252.6528</v>
      </c>
      <c r="DK11" t="n">
        <v>98539.8827</v>
      </c>
      <c r="DL11" t="n">
        <v>101538.0019</v>
      </c>
      <c r="DM11" t="n">
        <v>103408.9198</v>
      </c>
      <c r="DN11" t="n">
        <v>99987.61960000001</v>
      </c>
      <c r="DO11" t="n">
        <v>93616.667</v>
      </c>
      <c r="DP11" t="n">
        <v>103911.4372</v>
      </c>
      <c r="DQ11" t="n">
        <v>100757.8554</v>
      </c>
      <c r="DR11" t="n">
        <v>106009.1383</v>
      </c>
      <c r="DS11" t="n">
        <v>107177.2911</v>
      </c>
      <c r="DT11" t="n">
        <v>108736.1087</v>
      </c>
      <c r="DU11" t="n">
        <v>114884.8745</v>
      </c>
      <c r="DV11" t="n">
        <v>109449.7222</v>
      </c>
      <c r="DW11" t="n">
        <v>108884.9667</v>
      </c>
      <c r="DX11" t="n">
        <v>118062.4569</v>
      </c>
      <c r="DY11" t="n">
        <v>123760.6851</v>
      </c>
      <c r="DZ11" t="n">
        <v>160075.5042</v>
      </c>
      <c r="EA11" t="n">
        <v>198315.0014</v>
      </c>
      <c r="EC11" t="n">
        <v>0.39</v>
      </c>
      <c r="EE11" t="n">
        <v>0.027</v>
      </c>
      <c r="EO11" t="n">
        <v>0.0737</v>
      </c>
      <c r="EQ11" t="n">
        <v>15</v>
      </c>
      <c r="EW11" t="inlineStr">
        <is>
          <t>Toyota RAV4  [tier 3]</t>
        </is>
      </c>
      <c r="EX11" t="n">
        <v>0.396</v>
      </c>
      <c r="EY11" t="n">
        <v>0.035</v>
      </c>
      <c r="EZ11" t="n">
        <v>0.046</v>
      </c>
    </row>
    <row r="12">
      <c r="BH12" t="n">
        <v>200000</v>
      </c>
      <c r="BI12" t="n">
        <v>64815.2737</v>
      </c>
      <c r="BJ12" t="n">
        <v>67981.77619999999</v>
      </c>
      <c r="BK12" t="n">
        <v>70691.7467</v>
      </c>
      <c r="BL12" t="n">
        <v>73050.70020000001</v>
      </c>
      <c r="BM12" t="n">
        <v>73126.43919999999</v>
      </c>
      <c r="BN12" t="n">
        <v>73011.92849999999</v>
      </c>
      <c r="BO12" t="n">
        <v>76483.0912</v>
      </c>
      <c r="BP12" t="n">
        <v>77723.71030000001</v>
      </c>
      <c r="BQ12" t="n">
        <v>76932.4639</v>
      </c>
      <c r="BR12" t="n">
        <v>77718.9031</v>
      </c>
      <c r="BS12" t="n">
        <v>78388.3217</v>
      </c>
      <c r="BT12" t="n">
        <v>79162.40089999999</v>
      </c>
      <c r="BU12" t="n">
        <v>78146.1866</v>
      </c>
      <c r="BV12" t="n">
        <v>79133.7061</v>
      </c>
      <c r="BW12" t="n">
        <v>78582.0138</v>
      </c>
      <c r="BX12" t="n">
        <v>83910.8077</v>
      </c>
      <c r="BY12" t="n">
        <v>83940.95209999999</v>
      </c>
      <c r="BZ12" t="n">
        <v>86262.6513</v>
      </c>
      <c r="CA12" t="n">
        <v>87552.3417</v>
      </c>
      <c r="CB12" t="n">
        <v>86653.73020000001</v>
      </c>
      <c r="CC12" t="n">
        <v>88541.9837</v>
      </c>
      <c r="CD12" t="n">
        <v>86465.67509999999</v>
      </c>
      <c r="CE12" t="n">
        <v>87163.0451</v>
      </c>
      <c r="CF12" t="n">
        <v>88977.75440000001</v>
      </c>
      <c r="CG12" t="n">
        <v>89431.5509</v>
      </c>
      <c r="CH12" t="n">
        <v>89457.08719999999</v>
      </c>
      <c r="CI12" t="n">
        <v>92039.43520000001</v>
      </c>
      <c r="CJ12" t="n">
        <v>91477.879</v>
      </c>
      <c r="CK12" t="n">
        <v>95097.6689</v>
      </c>
      <c r="CL12" t="n">
        <v>95023.4255</v>
      </c>
      <c r="CM12" t="n">
        <v>85298.9431</v>
      </c>
      <c r="CN12" t="n">
        <v>99286.8097</v>
      </c>
      <c r="CO12" t="n">
        <v>97232.7464</v>
      </c>
      <c r="CP12" t="n">
        <v>97737.1428</v>
      </c>
      <c r="CQ12" t="n">
        <v>96656.2549</v>
      </c>
      <c r="CR12" t="n">
        <v>98457.1511</v>
      </c>
      <c r="CS12" t="n">
        <v>100068.7796</v>
      </c>
      <c r="CT12" t="n">
        <v>98693.29369999999</v>
      </c>
      <c r="CU12" t="n">
        <v>99481.9816</v>
      </c>
      <c r="CV12" t="n">
        <v>99619.3587</v>
      </c>
      <c r="CW12" t="n">
        <v>101501.1845</v>
      </c>
      <c r="CX12" t="n">
        <v>102078.7599</v>
      </c>
      <c r="CY12" t="n">
        <v>102772.0248</v>
      </c>
      <c r="CZ12" t="n">
        <v>111318.028</v>
      </c>
      <c r="DA12" t="n">
        <v>101089.8489</v>
      </c>
      <c r="DB12" t="n">
        <v>102783.5799</v>
      </c>
      <c r="DC12" t="n">
        <v>103800.5596</v>
      </c>
      <c r="DD12" t="n">
        <v>100082.5628</v>
      </c>
      <c r="DE12" t="n">
        <v>102555.2897</v>
      </c>
      <c r="DF12" t="n">
        <v>107393.972</v>
      </c>
      <c r="DG12" t="n">
        <v>110224.4926</v>
      </c>
      <c r="DH12" t="n">
        <v>108475.8702</v>
      </c>
      <c r="DI12" t="n">
        <v>110251.6234</v>
      </c>
      <c r="DJ12" t="n">
        <v>115546.002</v>
      </c>
      <c r="DK12" t="n">
        <v>109488.7585</v>
      </c>
      <c r="DL12" t="n">
        <v>112820.0021</v>
      </c>
      <c r="DM12" t="n">
        <v>114898.7997</v>
      </c>
      <c r="DN12" t="n">
        <v>111097.3552</v>
      </c>
      <c r="DO12" t="n">
        <v>104018.5189</v>
      </c>
      <c r="DP12" t="n">
        <v>115457.1525</v>
      </c>
      <c r="DQ12" t="n">
        <v>111953.1726</v>
      </c>
      <c r="DR12" t="n">
        <v>117787.9315</v>
      </c>
      <c r="DS12" t="n">
        <v>119085.879</v>
      </c>
      <c r="DT12" t="n">
        <v>120817.8986</v>
      </c>
      <c r="DU12" t="n">
        <v>125830.0261</v>
      </c>
      <c r="DV12" t="n">
        <v>121610.8025</v>
      </c>
      <c r="DW12" t="n">
        <v>120983.2964</v>
      </c>
      <c r="DX12" t="n">
        <v>127967.8434</v>
      </c>
      <c r="DY12" t="n">
        <v>137511.8723</v>
      </c>
      <c r="DZ12" t="n">
        <v>177861.6714</v>
      </c>
      <c r="EA12" t="n">
        <v>220350.0015</v>
      </c>
      <c r="EC12" t="n">
        <v>0.396</v>
      </c>
      <c r="EE12" t="n">
        <v>0.029</v>
      </c>
      <c r="EO12" t="n">
        <v>0.077</v>
      </c>
      <c r="EQ12" t="n">
        <v>15</v>
      </c>
      <c r="EW12" t="inlineStr">
        <is>
          <t>Hyundai Sonata  [tier 3]</t>
        </is>
      </c>
      <c r="EX12" t="n">
        <v>0.387</v>
      </c>
      <c r="EY12" t="n">
        <v>0.035</v>
      </c>
      <c r="EZ12" t="n">
        <v>0.056</v>
      </c>
    </row>
    <row r="13">
      <c r="EC13" t="n">
        <v>0.396</v>
      </c>
      <c r="EE13" t="n">
        <v>0.035</v>
      </c>
      <c r="EO13" t="n">
        <v>0.0771</v>
      </c>
      <c r="EQ13" t="n">
        <v>30</v>
      </c>
      <c r="EW13" t="inlineStr">
        <is>
          <t>Tesla Model 3  [tier 3]</t>
        </is>
      </c>
      <c r="EX13" t="n">
        <v>0.367</v>
      </c>
      <c r="EY13" t="n">
        <v>0.046</v>
      </c>
      <c r="EZ13" t="n">
        <v>0.09</v>
      </c>
    </row>
    <row r="14">
      <c r="EC14" t="n">
        <v>0.397</v>
      </c>
      <c r="EE14" t="n">
        <v>0.027</v>
      </c>
      <c r="EO14" t="n">
        <v>0.078</v>
      </c>
      <c r="EQ14" t="n">
        <v>14</v>
      </c>
      <c r="EW14" t="inlineStr">
        <is>
          <t>Kia Niro (hybrid)  [tier 3]</t>
        </is>
      </c>
      <c r="EX14" t="n">
        <v>0.367</v>
      </c>
      <c r="EY14" t="n">
        <v>0.035</v>
      </c>
      <c r="EZ14" t="n">
        <v>0.058</v>
      </c>
    </row>
    <row r="15">
      <c r="N15" s="75" t="inlineStr">
        <is>
          <t>DATA 1 — cumulative $ spent vs miles driven (selected cars)</t>
        </is>
      </c>
      <c r="BH15" t="inlineStr">
        <is>
          <t>x</t>
        </is>
      </c>
      <c r="BI15" t="inlineStr">
        <is>
          <t>Chevy Bolt EV</t>
        </is>
      </c>
      <c r="BJ15" t="inlineStr">
        <is>
          <t>Chevy Volt</t>
        </is>
      </c>
      <c r="BK15" t="inlineStr">
        <is>
          <t>Toyota Prius (hybrid)</t>
        </is>
      </c>
      <c r="BL15" t="inlineStr">
        <is>
          <t>Toyota Prius Prime</t>
        </is>
      </c>
      <c r="BM15" t="inlineStr">
        <is>
          <t>Toyota Corolla</t>
        </is>
      </c>
      <c r="BN15" t="inlineStr">
        <is>
          <t>Toyota Camry Hybrid</t>
        </is>
      </c>
      <c r="BO15" t="inlineStr">
        <is>
          <t>Honda Civic</t>
        </is>
      </c>
      <c r="BP15" t="inlineStr">
        <is>
          <t>Nissan Leaf</t>
        </is>
      </c>
      <c r="BQ15" t="inlineStr">
        <is>
          <t>Hyundai Elantra</t>
        </is>
      </c>
      <c r="BR15" t="inlineStr">
        <is>
          <t>Honda Accord</t>
        </is>
      </c>
      <c r="BS15" t="inlineStr">
        <is>
          <t>Kia K4</t>
        </is>
      </c>
      <c r="BT15" t="inlineStr">
        <is>
          <t>Mazda3 (SkyActiv)</t>
        </is>
      </c>
      <c r="BU15" t="inlineStr">
        <is>
          <t>Toyota Camry</t>
        </is>
      </c>
      <c r="BV15" t="inlineStr">
        <is>
          <t>Toyota RAV4 Hybrid</t>
        </is>
      </c>
      <c r="BW15" t="inlineStr">
        <is>
          <t>Kia Niro (hybrid)</t>
        </is>
      </c>
      <c r="BX15" t="inlineStr">
        <is>
          <t>Tesla Model 3</t>
        </is>
      </c>
      <c r="BY15" t="inlineStr">
        <is>
          <t>Hyundai Sonata</t>
        </is>
      </c>
      <c r="BZ15" t="inlineStr">
        <is>
          <t>Toyota RAV4</t>
        </is>
      </c>
      <c r="CA15" t="inlineStr">
        <is>
          <t>Fiat 500</t>
        </is>
      </c>
      <c r="CB15" t="inlineStr">
        <is>
          <t>Honda CR-V</t>
        </is>
      </c>
      <c r="CC15" t="inlineStr">
        <is>
          <t>VW ID.4 (AWD avail)</t>
        </is>
      </c>
      <c r="CD15" t="inlineStr">
        <is>
          <t>Toyota RAV4 Prime</t>
        </is>
      </c>
      <c r="CE15" t="inlineStr">
        <is>
          <t>Kia Soul</t>
        </is>
      </c>
      <c r="CF15" t="inlineStr">
        <is>
          <t>VW Passat</t>
        </is>
      </c>
      <c r="CG15" t="inlineStr">
        <is>
          <t>Buick Encore</t>
        </is>
      </c>
      <c r="CH15" t="inlineStr">
        <is>
          <t>Hyundai Kona</t>
        </is>
      </c>
      <c r="CI15" t="inlineStr">
        <is>
          <t>Mazda CX-5</t>
        </is>
      </c>
      <c r="CJ15" t="inlineStr">
        <is>
          <t>Toyota Highlander Hybrid</t>
        </is>
      </c>
      <c r="CK15" t="inlineStr">
        <is>
          <t>Subaru Outback</t>
        </is>
      </c>
      <c r="CL15" t="inlineStr">
        <is>
          <t>Subaru Forester</t>
        </is>
      </c>
      <c r="CM15" t="inlineStr">
        <is>
          <t>Toyota Sienna Hybrid</t>
        </is>
      </c>
      <c r="CN15" t="inlineStr">
        <is>
          <t>Toyota Tacoma</t>
        </is>
      </c>
      <c r="CO15" t="inlineStr">
        <is>
          <t>Nissan Rogue</t>
        </is>
      </c>
      <c r="CP15" t="inlineStr">
        <is>
          <t>Chevy Equinox</t>
        </is>
      </c>
      <c r="CQ15" t="inlineStr">
        <is>
          <t>Toyota Sienna (V6)</t>
        </is>
      </c>
      <c r="CR15" t="inlineStr">
        <is>
          <t>Mini Cooper</t>
        </is>
      </c>
      <c r="CS15" t="inlineStr">
        <is>
          <t>Ford Ranger (old compact)</t>
        </is>
      </c>
      <c r="CT15" t="inlineStr">
        <is>
          <t>Fiat 500X</t>
        </is>
      </c>
      <c r="CU15" t="inlineStr">
        <is>
          <t>VW GTI</t>
        </is>
      </c>
      <c r="CV15" t="inlineStr">
        <is>
          <t>Kia Sportage</t>
        </is>
      </c>
      <c r="CW15" t="inlineStr">
        <is>
          <t>Ford Escape</t>
        </is>
      </c>
      <c r="CX15" t="inlineStr">
        <is>
          <t>Toyota Highlander</t>
        </is>
      </c>
      <c r="CY15" t="inlineStr">
        <is>
          <t>Hyundai Tucson</t>
        </is>
      </c>
      <c r="CZ15" t="inlineStr">
        <is>
          <t>Toyota 4Runner</t>
        </is>
      </c>
      <c r="DA15" t="inlineStr">
        <is>
          <t>Honda Odyssey</t>
        </is>
      </c>
      <c r="DB15" t="inlineStr">
        <is>
          <t>Kia Sorento</t>
        </is>
      </c>
      <c r="DC15" t="inlineStr">
        <is>
          <t>Hyundai Santa Fe</t>
        </is>
      </c>
      <c r="DD15" t="inlineStr">
        <is>
          <t>VW Tiguan</t>
        </is>
      </c>
      <c r="DE15" t="inlineStr">
        <is>
          <t>Chrysler Pacifica PHEV</t>
        </is>
      </c>
      <c r="DF15" t="inlineStr">
        <is>
          <t>Subaru Ascent</t>
        </is>
      </c>
      <c r="DG15" t="inlineStr">
        <is>
          <t>Ford Ranger (2019+ midsize)</t>
        </is>
      </c>
      <c r="DH15" t="inlineStr">
        <is>
          <t>Honda Pilot</t>
        </is>
      </c>
      <c r="DI15" t="inlineStr">
        <is>
          <t>Mini Countryman</t>
        </is>
      </c>
      <c r="DJ15" t="inlineStr">
        <is>
          <t>Toyota Sequoia</t>
        </is>
      </c>
      <c r="DK15" t="inlineStr">
        <is>
          <t>Hyundai Palisade</t>
        </is>
      </c>
      <c r="DL15" t="inlineStr">
        <is>
          <t>Chrysler Pacifica</t>
        </is>
      </c>
      <c r="DM15" t="inlineStr">
        <is>
          <t>Chevy Colorado</t>
        </is>
      </c>
      <c r="DN15" t="inlineStr">
        <is>
          <t>Kia Telluride</t>
        </is>
      </c>
      <c r="DO15" t="inlineStr">
        <is>
          <t>Mazda CX-90</t>
        </is>
      </c>
      <c r="DP15" t="inlineStr">
        <is>
          <t>Chevy Traverse</t>
        </is>
      </c>
      <c r="DQ15" t="inlineStr">
        <is>
          <t>VW Atlas</t>
        </is>
      </c>
      <c r="DR15" t="inlineStr">
        <is>
          <t>Ford Explorer</t>
        </is>
      </c>
      <c r="DS15" t="inlineStr">
        <is>
          <t>Buick Enclave</t>
        </is>
      </c>
      <c r="DT15" t="inlineStr">
        <is>
          <t>Volvo XC60</t>
        </is>
      </c>
      <c r="DU15" t="inlineStr">
        <is>
          <t>Chevy Tahoe</t>
        </is>
      </c>
      <c r="DV15" t="inlineStr">
        <is>
          <t>Jeep Grand Cherokee L</t>
        </is>
      </c>
      <c r="DW15" t="inlineStr">
        <is>
          <t>Volvo V90 Cross Country</t>
        </is>
      </c>
      <c r="DX15" t="inlineStr">
        <is>
          <t>Chevy Suburban</t>
        </is>
      </c>
      <c r="DY15" t="inlineStr">
        <is>
          <t>Volvo XC90</t>
        </is>
      </c>
      <c r="DZ15" t="inlineStr">
        <is>
          <t>Porsche 996 Carrera</t>
        </is>
      </c>
      <c r="EA15" t="inlineStr">
        <is>
          <t>Porsche 996 Turbo</t>
        </is>
      </c>
      <c r="EC15" t="n">
        <v>0.422</v>
      </c>
      <c r="EE15" t="n">
        <v>0.038</v>
      </c>
      <c r="EO15" t="n">
        <v>0.078</v>
      </c>
      <c r="EQ15" t="n">
        <v>17</v>
      </c>
      <c r="EW15" t="inlineStr">
        <is>
          <t>Toyota RAV4 Hybrid  [tier 2]</t>
        </is>
      </c>
      <c r="EX15" t="n">
        <v>0.359</v>
      </c>
      <c r="EY15" t="n">
        <v>0.039</v>
      </c>
      <c r="EZ15" t="n">
        <v>0.039</v>
      </c>
    </row>
    <row r="16">
      <c r="N16" s="24" t="inlineStr">
        <is>
          <t>Miles</t>
        </is>
      </c>
      <c r="O16">
        <f>Charts!$A$4</f>
        <v/>
      </c>
      <c r="P16">
        <f>Charts!$A$5</f>
        <v/>
      </c>
      <c r="Q16">
        <f>Charts!$A$6</f>
        <v/>
      </c>
      <c r="R16">
        <f>Charts!$A$7</f>
        <v/>
      </c>
      <c r="S16">
        <f>Charts!$A$8</f>
        <v/>
      </c>
      <c r="T16">
        <f>Charts!$A$9</f>
        <v/>
      </c>
      <c r="U16">
        <f>Charts!$A$10</f>
        <v/>
      </c>
      <c r="V16">
        <f>Charts!$A$11</f>
        <v/>
      </c>
      <c r="W16">
        <f>Charts!$A$12</f>
        <v/>
      </c>
      <c r="X16">
        <f>Charts!$A$13</f>
        <v/>
      </c>
      <c r="BH16" t="n">
        <v>5000</v>
      </c>
      <c r="BI16" t="n">
        <v>0.4402</v>
      </c>
      <c r="BJ16" t="n">
        <v>0.4807</v>
      </c>
      <c r="BK16" t="n">
        <v>0.4423</v>
      </c>
      <c r="BL16" t="n">
        <v>0.639</v>
      </c>
      <c r="BM16" t="n">
        <v>0.4667</v>
      </c>
      <c r="BN16" t="n">
        <v>0.5475</v>
      </c>
      <c r="BO16" t="n">
        <v>0.4424</v>
      </c>
      <c r="BP16" t="n">
        <v>0.5767</v>
      </c>
      <c r="BQ16" t="n">
        <v>0.5684</v>
      </c>
      <c r="BR16" t="n">
        <v>0.5299</v>
      </c>
      <c r="BS16" t="n">
        <v>0.5061</v>
      </c>
      <c r="BT16" t="n">
        <v>0.5435</v>
      </c>
      <c r="BU16" t="n">
        <v>0.4879</v>
      </c>
      <c r="BV16" t="n">
        <v>0.4801</v>
      </c>
      <c r="BW16" t="n">
        <v>0.6574</v>
      </c>
      <c r="BX16" t="n">
        <v>0.6219</v>
      </c>
      <c r="BY16" t="n">
        <v>0.725</v>
      </c>
      <c r="BZ16" t="n">
        <v>0.6366000000000001</v>
      </c>
      <c r="CA16" t="n">
        <v>0.7471</v>
      </c>
      <c r="CB16" t="n">
        <v>0.5863</v>
      </c>
      <c r="CC16" t="n">
        <v>0.6331</v>
      </c>
      <c r="CD16" t="n">
        <v>0.5997</v>
      </c>
      <c r="CE16" t="n">
        <v>0.7506</v>
      </c>
      <c r="CF16" t="n">
        <v>0.6637999999999999</v>
      </c>
      <c r="CG16" t="n">
        <v>0.6478</v>
      </c>
      <c r="CH16" t="n">
        <v>0.7234</v>
      </c>
      <c r="CI16" t="n">
        <v>0.6885</v>
      </c>
      <c r="CJ16" t="n">
        <v>0.6113</v>
      </c>
      <c r="CK16" t="n">
        <v>0.8115</v>
      </c>
      <c r="CL16" t="n">
        <v>0.8486</v>
      </c>
      <c r="CM16" t="n">
        <v>0.5746</v>
      </c>
      <c r="CN16" t="n">
        <v>0.5563</v>
      </c>
      <c r="CO16" t="n">
        <v>0.7902</v>
      </c>
      <c r="CP16" t="n">
        <v>0.7133</v>
      </c>
      <c r="CQ16" t="n">
        <v>0.5884</v>
      </c>
      <c r="CR16" t="n">
        <v>0.7261</v>
      </c>
      <c r="CS16" t="n">
        <v>0.7543</v>
      </c>
      <c r="CT16" t="n">
        <v>0.7922</v>
      </c>
      <c r="CU16" t="n">
        <v>0.774</v>
      </c>
      <c r="CV16" t="n">
        <v>0.8911</v>
      </c>
      <c r="CW16" t="n">
        <v>0.9006999999999999</v>
      </c>
      <c r="CX16" t="n">
        <v>0.6946</v>
      </c>
      <c r="CY16" t="n">
        <v>0.7339</v>
      </c>
      <c r="CZ16" t="n">
        <v>0.5706</v>
      </c>
      <c r="DA16" t="n">
        <v>0.7539</v>
      </c>
      <c r="DB16" t="n">
        <v>0.7561</v>
      </c>
      <c r="DC16" t="n">
        <v>0.9315</v>
      </c>
      <c r="DD16" t="n">
        <v>0.8052</v>
      </c>
      <c r="DE16" t="n">
        <v>0.9493</v>
      </c>
      <c r="DF16" t="n">
        <v>0.8312</v>
      </c>
      <c r="DG16" t="n">
        <v>0.8007</v>
      </c>
      <c r="DH16" t="n">
        <v>0.741</v>
      </c>
      <c r="DI16" t="n">
        <v>0.8452</v>
      </c>
      <c r="DJ16" t="n">
        <v>0.6251</v>
      </c>
      <c r="DK16" t="n">
        <v>0.7309</v>
      </c>
      <c r="DL16" t="n">
        <v>1.0177</v>
      </c>
      <c r="DM16" t="n">
        <v>0.8174</v>
      </c>
      <c r="DN16" t="n">
        <v>0.7956</v>
      </c>
      <c r="DO16" t="n">
        <v>0.6945</v>
      </c>
      <c r="DP16" t="n">
        <v>0.897</v>
      </c>
      <c r="DQ16" t="n">
        <v>0.8803</v>
      </c>
      <c r="DR16" t="n">
        <v>0.9935</v>
      </c>
      <c r="DS16" t="n">
        <v>1.1157</v>
      </c>
      <c r="DT16" t="n">
        <v>0.9728</v>
      </c>
      <c r="DU16" t="n">
        <v>0.7649</v>
      </c>
      <c r="DV16" t="n">
        <v>0.8797</v>
      </c>
      <c r="DW16" t="n">
        <v>0.9999</v>
      </c>
      <c r="DX16" t="n">
        <v>0.7736</v>
      </c>
      <c r="DY16" t="n">
        <v>1.2266</v>
      </c>
      <c r="DZ16" t="n">
        <v>1.7357</v>
      </c>
      <c r="EA16" t="n">
        <v>2.0895</v>
      </c>
      <c r="EC16" t="n">
        <v>0.431</v>
      </c>
      <c r="EE16" t="n">
        <v>0.033</v>
      </c>
      <c r="EO16" t="n">
        <v>0.07920000000000001</v>
      </c>
      <c r="EQ16" t="n">
        <v>15</v>
      </c>
      <c r="EW16" t="inlineStr">
        <is>
          <t>Toyota Camry  [tier 2]</t>
        </is>
      </c>
      <c r="EX16" t="n">
        <v>0.363</v>
      </c>
      <c r="EY16" t="n">
        <v>0.034</v>
      </c>
      <c r="EZ16" t="n">
        <v>0.039</v>
      </c>
    </row>
    <row r="17">
      <c r="N17" t="n">
        <v>20000</v>
      </c>
      <c r="O17">
        <f>IFERROR(INDEX($BI$3:$EA$3,MATCH(O$16,$BI$2:$EA$2,0)),"")</f>
        <v/>
      </c>
      <c r="P17">
        <f>IFERROR(INDEX($BI$3:$EA$3,MATCH(P$16,$BI$2:$EA$2,0)),"")</f>
        <v/>
      </c>
      <c r="Q17">
        <f>IFERROR(INDEX($BI$3:$EA$3,MATCH(Q$16,$BI$2:$EA$2,0)),"")</f>
        <v/>
      </c>
      <c r="R17">
        <f>IFERROR(INDEX($BI$3:$EA$3,MATCH(R$16,$BI$2:$EA$2,0)),"")</f>
        <v/>
      </c>
      <c r="S17">
        <f>IFERROR(INDEX($BI$3:$EA$3,MATCH(S$16,$BI$2:$EA$2,0)),"")</f>
        <v/>
      </c>
      <c r="T17">
        <f>IFERROR(INDEX($BI$3:$EA$3,MATCH(T$16,$BI$2:$EA$2,0)),"")</f>
        <v/>
      </c>
      <c r="U17">
        <f>IFERROR(INDEX($BI$3:$EA$3,MATCH(U$16,$BI$2:$EA$2,0)),"")</f>
        <v/>
      </c>
      <c r="V17">
        <f>IFERROR(INDEX($BI$3:$EA$3,MATCH(V$16,$BI$2:$EA$2,0)),"")</f>
        <v/>
      </c>
      <c r="W17">
        <f>IFERROR(INDEX($BI$3:$EA$3,MATCH(W$16,$BI$2:$EA$2,0)),"")</f>
        <v/>
      </c>
      <c r="X17">
        <f>IFERROR(INDEX($BI$3:$EA$3,MATCH(X$16,$BI$2:$EA$2,0)),"")</f>
        <v/>
      </c>
      <c r="BH17" t="n">
        <v>8000</v>
      </c>
      <c r="BI17" t="n">
        <v>0.3824</v>
      </c>
      <c r="BJ17" t="n">
        <v>0.4052</v>
      </c>
      <c r="BK17" t="n">
        <v>0.4011</v>
      </c>
      <c r="BL17" t="n">
        <v>0.4898</v>
      </c>
      <c r="BM17" t="n">
        <v>0.4124</v>
      </c>
      <c r="BN17" t="n">
        <v>0.4488</v>
      </c>
      <c r="BO17" t="n">
        <v>0.4158</v>
      </c>
      <c r="BP17" t="n">
        <v>0.4587</v>
      </c>
      <c r="BQ17" t="n">
        <v>0.4499</v>
      </c>
      <c r="BR17" t="n">
        <v>0.4506</v>
      </c>
      <c r="BS17" t="n">
        <v>0.4503</v>
      </c>
      <c r="BT17" t="n">
        <v>0.4604</v>
      </c>
      <c r="BU17" t="n">
        <v>0.4458</v>
      </c>
      <c r="BV17" t="n">
        <v>0.4388</v>
      </c>
      <c r="BW17" t="n">
        <v>0.4933</v>
      </c>
      <c r="BX17" t="n">
        <v>0.5212</v>
      </c>
      <c r="BY17" t="n">
        <v>0.5053</v>
      </c>
      <c r="BZ17" t="n">
        <v>0.4849</v>
      </c>
      <c r="CA17" t="n">
        <v>0.5702</v>
      </c>
      <c r="CB17" t="n">
        <v>0.5580000000000001</v>
      </c>
      <c r="CC17" t="n">
        <v>0.5391</v>
      </c>
      <c r="CD17" t="n">
        <v>0.5231</v>
      </c>
      <c r="CE17" t="n">
        <v>0.5243</v>
      </c>
      <c r="CF17" t="n">
        <v>0.5335</v>
      </c>
      <c r="CG17" t="n">
        <v>0.5309</v>
      </c>
      <c r="CH17" t="n">
        <v>0.5802</v>
      </c>
      <c r="CI17" t="n">
        <v>0.5573</v>
      </c>
      <c r="CJ17" t="n">
        <v>0.5346</v>
      </c>
      <c r="CK17" t="n">
        <v>0.5719</v>
      </c>
      <c r="CL17" t="n">
        <v>0.5681</v>
      </c>
      <c r="CM17" t="n">
        <v>0.5188</v>
      </c>
      <c r="CN17" t="n">
        <v>0.5169</v>
      </c>
      <c r="CO17" t="n">
        <v>0.64</v>
      </c>
      <c r="CP17" t="n">
        <v>0.6156</v>
      </c>
      <c r="CQ17" t="n">
        <v>0.5351</v>
      </c>
      <c r="CR17" t="n">
        <v>0.6008</v>
      </c>
      <c r="CS17" t="n">
        <v>0.6063</v>
      </c>
      <c r="CT17" t="n">
        <v>0.6079</v>
      </c>
      <c r="CU17" t="n">
        <v>0.5921</v>
      </c>
      <c r="CV17" t="n">
        <v>0.6431</v>
      </c>
      <c r="CW17" t="n">
        <v>0.6168</v>
      </c>
      <c r="CX17" t="n">
        <v>0.6128</v>
      </c>
      <c r="CY17" t="n">
        <v>0.6097</v>
      </c>
      <c r="CZ17" t="n">
        <v>0.5439000000000001</v>
      </c>
      <c r="DA17" t="n">
        <v>0.5976</v>
      </c>
      <c r="DB17" t="n">
        <v>0.625</v>
      </c>
      <c r="DC17" t="n">
        <v>0.6405999999999999</v>
      </c>
      <c r="DD17" t="n">
        <v>0.6576</v>
      </c>
      <c r="DE17" t="n">
        <v>0.7422</v>
      </c>
      <c r="DF17" t="n">
        <v>0.6897</v>
      </c>
      <c r="DG17" t="n">
        <v>0.6719000000000001</v>
      </c>
      <c r="DH17" t="n">
        <v>0.6218</v>
      </c>
      <c r="DI17" t="n">
        <v>0.6653</v>
      </c>
      <c r="DJ17" t="n">
        <v>0.5844</v>
      </c>
      <c r="DK17" t="n">
        <v>0.6503</v>
      </c>
      <c r="DL17" t="n">
        <v>0.7812</v>
      </c>
      <c r="DM17" t="n">
        <v>0.6627999999999999</v>
      </c>
      <c r="DN17" t="n">
        <v>0.6945</v>
      </c>
      <c r="DO17" t="n">
        <v>0.6352</v>
      </c>
      <c r="DP17" t="n">
        <v>0.7259</v>
      </c>
      <c r="DQ17" t="n">
        <v>0.7258</v>
      </c>
      <c r="DR17" t="n">
        <v>0.7057</v>
      </c>
      <c r="DS17" t="n">
        <v>0.7464</v>
      </c>
      <c r="DT17" t="n">
        <v>0.7865</v>
      </c>
      <c r="DU17" t="n">
        <v>0.674</v>
      </c>
      <c r="DV17" t="n">
        <v>0.753</v>
      </c>
      <c r="DW17" t="n">
        <v>0.7732</v>
      </c>
      <c r="DX17" t="n">
        <v>0.6848</v>
      </c>
      <c r="DY17" t="n">
        <v>0.892</v>
      </c>
      <c r="DZ17" t="n">
        <v>1.2115</v>
      </c>
      <c r="EA17" t="n">
        <v>1.4887</v>
      </c>
      <c r="EC17" t="n">
        <v>0.434</v>
      </c>
      <c r="EE17" t="n">
        <v>0.048</v>
      </c>
      <c r="EO17" t="n">
        <v>0.07920000000000001</v>
      </c>
      <c r="EQ17" t="n">
        <v>20</v>
      </c>
      <c r="EW17" t="inlineStr">
        <is>
          <t>Mazda3 (SkyActiv)  [tier 2]</t>
        </is>
      </c>
      <c r="EX17" t="n">
        <v>0.364</v>
      </c>
      <c r="EY17" t="n">
        <v>0.032</v>
      </c>
      <c r="EZ17" t="n">
        <v>0.044</v>
      </c>
    </row>
    <row r="18">
      <c r="N18" t="n">
        <v>40000</v>
      </c>
      <c r="O18">
        <f>IFERROR(INDEX($BI$4:$EA$4,MATCH(O$16,$BI$2:$EA$2,0)),"")</f>
        <v/>
      </c>
      <c r="P18">
        <f>IFERROR(INDEX($BI$4:$EA$4,MATCH(P$16,$BI$2:$EA$2,0)),"")</f>
        <v/>
      </c>
      <c r="Q18">
        <f>IFERROR(INDEX($BI$4:$EA$4,MATCH(Q$16,$BI$2:$EA$2,0)),"")</f>
        <v/>
      </c>
      <c r="R18">
        <f>IFERROR(INDEX($BI$4:$EA$4,MATCH(R$16,$BI$2:$EA$2,0)),"")</f>
        <v/>
      </c>
      <c r="S18">
        <f>IFERROR(INDEX($BI$4:$EA$4,MATCH(S$16,$BI$2:$EA$2,0)),"")</f>
        <v/>
      </c>
      <c r="T18">
        <f>IFERROR(INDEX($BI$4:$EA$4,MATCH(T$16,$BI$2:$EA$2,0)),"")</f>
        <v/>
      </c>
      <c r="U18">
        <f>IFERROR(INDEX($BI$4:$EA$4,MATCH(U$16,$BI$2:$EA$2,0)),"")</f>
        <v/>
      </c>
      <c r="V18">
        <f>IFERROR(INDEX($BI$4:$EA$4,MATCH(V$16,$BI$2:$EA$2,0)),"")</f>
        <v/>
      </c>
      <c r="W18">
        <f>IFERROR(INDEX($BI$4:$EA$4,MATCH(W$16,$BI$2:$EA$2,0)),"")</f>
        <v/>
      </c>
      <c r="X18">
        <f>IFERROR(INDEX($BI$4:$EA$4,MATCH(X$16,$BI$2:$EA$2,0)),"")</f>
        <v/>
      </c>
      <c r="BH18" t="n">
        <v>11000</v>
      </c>
      <c r="BI18" t="n">
        <v>0.3478</v>
      </c>
      <c r="BJ18" t="n">
        <v>0.3628</v>
      </c>
      <c r="BK18" t="n">
        <v>0.3688</v>
      </c>
      <c r="BL18" t="n">
        <v>0.3962</v>
      </c>
      <c r="BM18" t="n">
        <v>0.3842</v>
      </c>
      <c r="BN18" t="n">
        <v>0.3972</v>
      </c>
      <c r="BO18" t="n">
        <v>0.398</v>
      </c>
      <c r="BP18" t="n">
        <v>0.4122</v>
      </c>
      <c r="BQ18" t="n">
        <v>0.4114</v>
      </c>
      <c r="BR18" t="n">
        <v>0.409</v>
      </c>
      <c r="BS18" t="n">
        <v>0.4138</v>
      </c>
      <c r="BT18" t="n">
        <v>0.4221</v>
      </c>
      <c r="BU18" t="n">
        <v>0.4128</v>
      </c>
      <c r="BV18" t="n">
        <v>0.4105</v>
      </c>
      <c r="BW18" t="n">
        <v>0.4321</v>
      </c>
      <c r="BX18" t="n">
        <v>0.4442</v>
      </c>
      <c r="BY18" t="n">
        <v>0.4492</v>
      </c>
      <c r="BZ18" t="n">
        <v>0.4642</v>
      </c>
      <c r="CA18" t="n">
        <v>0.4818</v>
      </c>
      <c r="CB18" t="n">
        <v>0.4562</v>
      </c>
      <c r="CC18" t="n">
        <v>0.4844</v>
      </c>
      <c r="CD18" t="n">
        <v>0.4774</v>
      </c>
      <c r="CE18" t="n">
        <v>0.4666</v>
      </c>
      <c r="CF18" t="n">
        <v>0.4837</v>
      </c>
      <c r="CG18" t="n">
        <v>0.4783</v>
      </c>
      <c r="CH18" t="n">
        <v>0.4843</v>
      </c>
      <c r="CI18" t="n">
        <v>0.4871</v>
      </c>
      <c r="CJ18" t="n">
        <v>0.5096000000000001</v>
      </c>
      <c r="CK18" t="n">
        <v>0.507</v>
      </c>
      <c r="CL18" t="n">
        <v>0.5044999999999999</v>
      </c>
      <c r="CM18" t="n">
        <v>0.4869</v>
      </c>
      <c r="CN18" t="n">
        <v>0.4896</v>
      </c>
      <c r="CO18" t="n">
        <v>0.5207000000000001</v>
      </c>
      <c r="CP18" t="n">
        <v>0.5241</v>
      </c>
      <c r="CQ18" t="n">
        <v>0.5071</v>
      </c>
      <c r="CR18" t="n">
        <v>0.5303</v>
      </c>
      <c r="CS18" t="n">
        <v>0.5351</v>
      </c>
      <c r="CT18" t="n">
        <v>0.5373</v>
      </c>
      <c r="CU18" t="n">
        <v>0.5369</v>
      </c>
      <c r="CV18" t="n">
        <v>0.5367</v>
      </c>
      <c r="CW18" t="n">
        <v>0.5636</v>
      </c>
      <c r="CX18" t="n">
        <v>0.5341</v>
      </c>
      <c r="CY18" t="n">
        <v>0.5548</v>
      </c>
      <c r="CZ18" t="n">
        <v>0.5292</v>
      </c>
      <c r="DA18" t="n">
        <v>0.5563</v>
      </c>
      <c r="DB18" t="n">
        <v>0.5534</v>
      </c>
      <c r="DC18" t="n">
        <v>0.5874</v>
      </c>
      <c r="DD18" t="n">
        <v>0.5592</v>
      </c>
      <c r="DE18" t="n">
        <v>0.5822000000000001</v>
      </c>
      <c r="DF18" t="n">
        <v>0.5779</v>
      </c>
      <c r="DG18" t="n">
        <v>0.5798</v>
      </c>
      <c r="DH18" t="n">
        <v>0.5714</v>
      </c>
      <c r="DI18" t="n">
        <v>0.5976</v>
      </c>
      <c r="DJ18" t="n">
        <v>0.5656</v>
      </c>
      <c r="DK18" t="n">
        <v>0.5847</v>
      </c>
      <c r="DL18" t="n">
        <v>0.6039</v>
      </c>
      <c r="DM18" t="n">
        <v>0.599</v>
      </c>
      <c r="DN18" t="n">
        <v>0.5936</v>
      </c>
      <c r="DO18" t="n">
        <v>0.5986</v>
      </c>
      <c r="DP18" t="n">
        <v>0.6173999999999999</v>
      </c>
      <c r="DQ18" t="n">
        <v>0.6267</v>
      </c>
      <c r="DR18" t="n">
        <v>0.6543</v>
      </c>
      <c r="DS18" t="n">
        <v>0.6756</v>
      </c>
      <c r="DT18" t="n">
        <v>0.6565</v>
      </c>
      <c r="DU18" t="n">
        <v>0.6691</v>
      </c>
      <c r="DV18" t="n">
        <v>0.6907</v>
      </c>
      <c r="DW18" t="n">
        <v>0.6785</v>
      </c>
      <c r="DX18" t="n">
        <v>0.6804</v>
      </c>
      <c r="DY18" t="n">
        <v>0.7484</v>
      </c>
      <c r="DZ18" t="n">
        <v>0.9992</v>
      </c>
      <c r="EA18" t="n">
        <v>1.2322</v>
      </c>
      <c r="EC18" t="n">
        <v>0.438</v>
      </c>
      <c r="EE18" t="n">
        <v>0.032</v>
      </c>
      <c r="EO18" t="n">
        <v>0.0794</v>
      </c>
      <c r="EQ18" t="n">
        <v>15</v>
      </c>
      <c r="EW18" t="inlineStr">
        <is>
          <t>Kia K4  [tier 2]</t>
        </is>
      </c>
      <c r="EX18" t="n">
        <v>0.369</v>
      </c>
      <c r="EY18" t="n">
        <v>0.027</v>
      </c>
      <c r="EZ18" t="n">
        <v>0.04</v>
      </c>
    </row>
    <row r="19">
      <c r="N19" t="n">
        <v>60000</v>
      </c>
      <c r="O19">
        <f>IFERROR(INDEX($BI$5:$EA$5,MATCH(O$16,$BI$2:$EA$2,0)),"")</f>
        <v/>
      </c>
      <c r="P19">
        <f>IFERROR(INDEX($BI$5:$EA$5,MATCH(P$16,$BI$2:$EA$2,0)),"")</f>
        <v/>
      </c>
      <c r="Q19">
        <f>IFERROR(INDEX($BI$5:$EA$5,MATCH(Q$16,$BI$2:$EA$2,0)),"")</f>
        <v/>
      </c>
      <c r="R19">
        <f>IFERROR(INDEX($BI$5:$EA$5,MATCH(R$16,$BI$2:$EA$2,0)),"")</f>
        <v/>
      </c>
      <c r="S19">
        <f>IFERROR(INDEX($BI$5:$EA$5,MATCH(S$16,$BI$2:$EA$2,0)),"")</f>
        <v/>
      </c>
      <c r="T19">
        <f>IFERROR(INDEX($BI$5:$EA$5,MATCH(T$16,$BI$2:$EA$2,0)),"")</f>
        <v/>
      </c>
      <c r="U19">
        <f>IFERROR(INDEX($BI$5:$EA$5,MATCH(U$16,$BI$2:$EA$2,0)),"")</f>
        <v/>
      </c>
      <c r="V19">
        <f>IFERROR(INDEX($BI$5:$EA$5,MATCH(V$16,$BI$2:$EA$2,0)),"")</f>
        <v/>
      </c>
      <c r="W19">
        <f>IFERROR(INDEX($BI$5:$EA$5,MATCH(W$16,$BI$2:$EA$2,0)),"")</f>
        <v/>
      </c>
      <c r="X19">
        <f>IFERROR(INDEX($BI$5:$EA$5,MATCH(X$16,$BI$2:$EA$2,0)),"")</f>
        <v/>
      </c>
      <c r="BH19" t="n">
        <v>13000</v>
      </c>
      <c r="BI19" t="n">
        <v>0.3241</v>
      </c>
      <c r="BJ19" t="n">
        <v>0.3399</v>
      </c>
      <c r="BK19" t="n">
        <v>0.3529</v>
      </c>
      <c r="BL19" t="n">
        <v>0.3677</v>
      </c>
      <c r="BM19" t="n">
        <v>0.3695</v>
      </c>
      <c r="BN19" t="n">
        <v>0.3696</v>
      </c>
      <c r="BO19" t="n">
        <v>0.3866</v>
      </c>
      <c r="BP19" t="n">
        <v>0.393</v>
      </c>
      <c r="BQ19" t="n">
        <v>0.3919</v>
      </c>
      <c r="BR19" t="n">
        <v>0.3886</v>
      </c>
      <c r="BS19" t="n">
        <v>0.398</v>
      </c>
      <c r="BT19" t="n">
        <v>0.3975</v>
      </c>
      <c r="BU19" t="n">
        <v>0.3987</v>
      </c>
      <c r="BV19" t="n">
        <v>0.399</v>
      </c>
      <c r="BW19" t="n">
        <v>0.4063</v>
      </c>
      <c r="BX19" t="n">
        <v>0.4196</v>
      </c>
      <c r="BY19" t="n">
        <v>0.4263</v>
      </c>
      <c r="BZ19" t="n">
        <v>0.4342</v>
      </c>
      <c r="CA19" t="n">
        <v>0.4422</v>
      </c>
      <c r="CB19" t="n">
        <v>0.4385</v>
      </c>
      <c r="CC19" t="n">
        <v>0.4427</v>
      </c>
      <c r="CD19" t="n">
        <v>0.4419</v>
      </c>
      <c r="CE19" t="n">
        <v>0.4432</v>
      </c>
      <c r="CF19" t="n">
        <v>0.4514</v>
      </c>
      <c r="CG19" t="n">
        <v>0.4542</v>
      </c>
      <c r="CH19" t="n">
        <v>0.4584</v>
      </c>
      <c r="CI19" t="n">
        <v>0.4624</v>
      </c>
      <c r="CJ19" t="n">
        <v>0.4723</v>
      </c>
      <c r="CK19" t="n">
        <v>0.4756</v>
      </c>
      <c r="CL19" t="n">
        <v>0.4751</v>
      </c>
      <c r="CM19" t="n">
        <v>0.4708</v>
      </c>
      <c r="CN19" t="n">
        <v>0.4799</v>
      </c>
      <c r="CO19" t="n">
        <v>0.4911</v>
      </c>
      <c r="CP19" t="n">
        <v>0.4926</v>
      </c>
      <c r="CQ19" t="n">
        <v>0.4952</v>
      </c>
      <c r="CR19" t="n">
        <v>0.4966</v>
      </c>
      <c r="CS19" t="n">
        <v>0.5003</v>
      </c>
      <c r="CT19" t="n">
        <v>0.5057</v>
      </c>
      <c r="CU19" t="n">
        <v>0.5084</v>
      </c>
      <c r="CV19" t="n">
        <v>0.509</v>
      </c>
      <c r="CW19" t="n">
        <v>0.5094</v>
      </c>
      <c r="CX19" t="n">
        <v>0.5143</v>
      </c>
      <c r="CY19" t="n">
        <v>0.5248</v>
      </c>
      <c r="CZ19" t="n">
        <v>0.5223</v>
      </c>
      <c r="DA19" t="n">
        <v>0.5276999999999999</v>
      </c>
      <c r="DB19" t="n">
        <v>0.5286</v>
      </c>
      <c r="DC19" t="n">
        <v>0.5299</v>
      </c>
      <c r="DD19" t="n">
        <v>0.5329</v>
      </c>
      <c r="DE19" t="n">
        <v>0.5437</v>
      </c>
      <c r="DF19" t="n">
        <v>0.5466</v>
      </c>
      <c r="DG19" t="n">
        <v>0.5511</v>
      </c>
      <c r="DH19" t="n">
        <v>0.551</v>
      </c>
      <c r="DI19" t="n">
        <v>0.5562</v>
      </c>
      <c r="DJ19" t="n">
        <v>0.5571</v>
      </c>
      <c r="DK19" t="n">
        <v>0.5667</v>
      </c>
      <c r="DL19" t="n">
        <v>0.5732</v>
      </c>
      <c r="DM19" t="n">
        <v>0.5745</v>
      </c>
      <c r="DN19" t="n">
        <v>0.5747</v>
      </c>
      <c r="DO19" t="n">
        <v>0.5832000000000001</v>
      </c>
      <c r="DP19" t="n">
        <v>0.5891</v>
      </c>
      <c r="DQ19" t="n">
        <v>0.5931</v>
      </c>
      <c r="DR19" t="n">
        <v>0.597</v>
      </c>
      <c r="DS19" t="n">
        <v>0.6081</v>
      </c>
      <c r="DT19" t="n">
        <v>0.6237</v>
      </c>
      <c r="DU19" t="n">
        <v>0.6318</v>
      </c>
      <c r="DV19" t="n">
        <v>0.6367</v>
      </c>
      <c r="DW19" t="n">
        <v>0.6447000000000001</v>
      </c>
      <c r="DX19" t="n">
        <v>0.6434</v>
      </c>
      <c r="DY19" t="n">
        <v>0.7119</v>
      </c>
      <c r="DZ19" t="n">
        <v>0.8893</v>
      </c>
      <c r="EA19" t="n">
        <v>1.1018</v>
      </c>
      <c r="EC19" t="n">
        <v>0.441</v>
      </c>
      <c r="EE19" t="n">
        <v>0.038</v>
      </c>
      <c r="EO19" t="n">
        <v>0.0796</v>
      </c>
      <c r="EQ19" t="n">
        <v>69</v>
      </c>
      <c r="EW19" t="inlineStr">
        <is>
          <t>Honda Accord  [tier 2]</t>
        </is>
      </c>
      <c r="EX19" t="n">
        <v>0.355</v>
      </c>
      <c r="EY19" t="n">
        <v>0.035</v>
      </c>
      <c r="EZ19" t="n">
        <v>0.035</v>
      </c>
    </row>
    <row r="20">
      <c r="N20" t="n">
        <v>80000</v>
      </c>
      <c r="O20">
        <f>IFERROR(INDEX($BI$6:$EA$6,MATCH(O$16,$BI$2:$EA$2,0)),"")</f>
        <v/>
      </c>
      <c r="P20">
        <f>IFERROR(INDEX($BI$6:$EA$6,MATCH(P$16,$BI$2:$EA$2,0)),"")</f>
        <v/>
      </c>
      <c r="Q20">
        <f>IFERROR(INDEX($BI$6:$EA$6,MATCH(Q$16,$BI$2:$EA$2,0)),"")</f>
        <v/>
      </c>
      <c r="R20">
        <f>IFERROR(INDEX($BI$6:$EA$6,MATCH(R$16,$BI$2:$EA$2,0)),"")</f>
        <v/>
      </c>
      <c r="S20">
        <f>IFERROR(INDEX($BI$6:$EA$6,MATCH(S$16,$BI$2:$EA$2,0)),"")</f>
        <v/>
      </c>
      <c r="T20">
        <f>IFERROR(INDEX($BI$6:$EA$6,MATCH(T$16,$BI$2:$EA$2,0)),"")</f>
        <v/>
      </c>
      <c r="U20">
        <f>IFERROR(INDEX($BI$6:$EA$6,MATCH(U$16,$BI$2:$EA$2,0)),"")</f>
        <v/>
      </c>
      <c r="V20">
        <f>IFERROR(INDEX($BI$6:$EA$6,MATCH(V$16,$BI$2:$EA$2,0)),"")</f>
        <v/>
      </c>
      <c r="W20">
        <f>IFERROR(INDEX($BI$6:$EA$6,MATCH(W$16,$BI$2:$EA$2,0)),"")</f>
        <v/>
      </c>
      <c r="X20">
        <f>IFERROR(INDEX($BI$6:$EA$6,MATCH(X$16,$BI$2:$EA$2,0)),"")</f>
        <v/>
      </c>
      <c r="BH20" t="n">
        <v>16000</v>
      </c>
      <c r="BI20" t="n">
        <v>0.307</v>
      </c>
      <c r="BJ20" t="n">
        <v>0.3171</v>
      </c>
      <c r="BK20" t="n">
        <v>0.3345</v>
      </c>
      <c r="BL20" t="n">
        <v>0.3386</v>
      </c>
      <c r="BM20" t="n">
        <v>0.363</v>
      </c>
      <c r="BN20" t="n">
        <v>0.3452</v>
      </c>
      <c r="BO20" t="n">
        <v>0.373</v>
      </c>
      <c r="BP20" t="n">
        <v>0.3701</v>
      </c>
      <c r="BQ20" t="n">
        <v>0.3684</v>
      </c>
      <c r="BR20" t="n">
        <v>0.367</v>
      </c>
      <c r="BS20" t="n">
        <v>0.3784</v>
      </c>
      <c r="BT20" t="n">
        <v>0.3783</v>
      </c>
      <c r="BU20" t="n">
        <v>0.3862</v>
      </c>
      <c r="BV20" t="n">
        <v>0.382</v>
      </c>
      <c r="BW20" t="n">
        <v>0.3816</v>
      </c>
      <c r="BX20" t="n">
        <v>0.3917</v>
      </c>
      <c r="BY20" t="n">
        <v>0.4021</v>
      </c>
      <c r="BZ20" t="n">
        <v>0.4127</v>
      </c>
      <c r="CA20" t="n">
        <v>0.4006</v>
      </c>
      <c r="CB20" t="n">
        <v>0.4187</v>
      </c>
      <c r="CC20" t="n">
        <v>0.4166</v>
      </c>
      <c r="CD20" t="n">
        <v>0.4195</v>
      </c>
      <c r="CE20" t="n">
        <v>0.4185</v>
      </c>
      <c r="CF20" t="n">
        <v>0.4237</v>
      </c>
      <c r="CG20" t="n">
        <v>0.4289</v>
      </c>
      <c r="CH20" t="n">
        <v>0.4302</v>
      </c>
      <c r="CI20" t="n">
        <v>0.4401</v>
      </c>
      <c r="CJ20" t="n">
        <v>0.4509</v>
      </c>
      <c r="CK20" t="n">
        <v>0.4477</v>
      </c>
      <c r="CL20" t="n">
        <v>0.4506</v>
      </c>
      <c r="CM20" t="n">
        <v>0.4539</v>
      </c>
      <c r="CN20" t="n">
        <v>0.4686</v>
      </c>
      <c r="CO20" t="n">
        <v>0.4666</v>
      </c>
      <c r="CP20" t="n">
        <v>0.4667</v>
      </c>
      <c r="CQ20" t="n">
        <v>0.4822</v>
      </c>
      <c r="CR20" t="n">
        <v>0.4639</v>
      </c>
      <c r="CS20" t="n">
        <v>0.467</v>
      </c>
      <c r="CT20" t="n">
        <v>0.4721</v>
      </c>
      <c r="CU20" t="n">
        <v>0.4779</v>
      </c>
      <c r="CV20" t="n">
        <v>0.4789</v>
      </c>
      <c r="CW20" t="n">
        <v>0.4786</v>
      </c>
      <c r="CX20" t="n">
        <v>0.4923</v>
      </c>
      <c r="CY20" t="n">
        <v>0.5003</v>
      </c>
      <c r="CZ20" t="n">
        <v>0.5147</v>
      </c>
      <c r="DA20" t="n">
        <v>0.5102</v>
      </c>
      <c r="DB20" t="n">
        <v>0.5014999999999999</v>
      </c>
      <c r="DC20" t="n">
        <v>0.4996</v>
      </c>
      <c r="DD20" t="n">
        <v>0.5051</v>
      </c>
      <c r="DE20" t="n">
        <v>0.5091</v>
      </c>
      <c r="DF20" t="n">
        <v>0.5214</v>
      </c>
      <c r="DG20" t="n">
        <v>0.5224</v>
      </c>
      <c r="DH20" t="n">
        <v>0.5315</v>
      </c>
      <c r="DI20" t="n">
        <v>0.5182</v>
      </c>
      <c r="DJ20" t="n">
        <v>0.5488</v>
      </c>
      <c r="DK20" t="n">
        <v>0.5466</v>
      </c>
      <c r="DL20" t="n">
        <v>0.5447</v>
      </c>
      <c r="DM20" t="n">
        <v>0.548</v>
      </c>
      <c r="DN20" t="n">
        <v>0.5537</v>
      </c>
      <c r="DO20" t="n">
        <v>0.5638</v>
      </c>
      <c r="DP20" t="n">
        <v>0.553</v>
      </c>
      <c r="DQ20" t="n">
        <v>0.5643</v>
      </c>
      <c r="DR20" t="n">
        <v>0.5601</v>
      </c>
      <c r="DS20" t="n">
        <v>0.5737</v>
      </c>
      <c r="DT20" t="n">
        <v>0.5883</v>
      </c>
      <c r="DU20" t="n">
        <v>0.6203</v>
      </c>
      <c r="DV20" t="n">
        <v>0.6096</v>
      </c>
      <c r="DW20" t="n">
        <v>0.6082</v>
      </c>
      <c r="DX20" t="n">
        <v>0.6319</v>
      </c>
      <c r="DY20" t="n">
        <v>0.6661</v>
      </c>
      <c r="DZ20" t="n">
        <v>0.7958</v>
      </c>
      <c r="EA20" t="n">
        <v>0.9859</v>
      </c>
      <c r="EC20" t="n">
        <v>0.447</v>
      </c>
      <c r="EE20" t="n">
        <v>0.042</v>
      </c>
      <c r="EO20" t="n">
        <v>0.0804</v>
      </c>
      <c r="EQ20" t="n">
        <v>54</v>
      </c>
      <c r="EW20" t="inlineStr">
        <is>
          <t>Hyundai Elantra  [tier 2]</t>
        </is>
      </c>
      <c r="EX20" t="n">
        <v>0.357</v>
      </c>
      <c r="EY20" t="n">
        <v>0.033</v>
      </c>
      <c r="EZ20" t="n">
        <v>0.042</v>
      </c>
    </row>
    <row r="21">
      <c r="N21" t="n">
        <v>100000</v>
      </c>
      <c r="O21">
        <f>IFERROR(INDEX($BI$7:$EA$7,MATCH(O$16,$BI$2:$EA$2,0)),"")</f>
        <v/>
      </c>
      <c r="P21">
        <f>IFERROR(INDEX($BI$7:$EA$7,MATCH(P$16,$BI$2:$EA$2,0)),"")</f>
        <v/>
      </c>
      <c r="Q21">
        <f>IFERROR(INDEX($BI$7:$EA$7,MATCH(Q$16,$BI$2:$EA$2,0)),"")</f>
        <v/>
      </c>
      <c r="R21">
        <f>IFERROR(INDEX($BI$7:$EA$7,MATCH(R$16,$BI$2:$EA$2,0)),"")</f>
        <v/>
      </c>
      <c r="S21">
        <f>IFERROR(INDEX($BI$7:$EA$7,MATCH(S$16,$BI$2:$EA$2,0)),"")</f>
        <v/>
      </c>
      <c r="T21">
        <f>IFERROR(INDEX($BI$7:$EA$7,MATCH(T$16,$BI$2:$EA$2,0)),"")</f>
        <v/>
      </c>
      <c r="U21">
        <f>IFERROR(INDEX($BI$7:$EA$7,MATCH(U$16,$BI$2:$EA$2,0)),"")</f>
        <v/>
      </c>
      <c r="V21">
        <f>IFERROR(INDEX($BI$7:$EA$7,MATCH(V$16,$BI$2:$EA$2,0)),"")</f>
        <v/>
      </c>
      <c r="W21">
        <f>IFERROR(INDEX($BI$7:$EA$7,MATCH(W$16,$BI$2:$EA$2,0)),"")</f>
        <v/>
      </c>
      <c r="X21">
        <f>IFERROR(INDEX($BI$7:$EA$7,MATCH(X$16,$BI$2:$EA$2,0)),"")</f>
        <v/>
      </c>
      <c r="BH21" t="n">
        <v>20000</v>
      </c>
      <c r="BI21" t="n">
        <v>0.291</v>
      </c>
      <c r="BJ21" t="n">
        <v>0.2964</v>
      </c>
      <c r="BK21" t="n">
        <v>0.317</v>
      </c>
      <c r="BL21" t="n">
        <v>0.3105</v>
      </c>
      <c r="BM21" t="n">
        <v>0.346</v>
      </c>
      <c r="BN21" t="n">
        <v>0.3216</v>
      </c>
      <c r="BO21" t="n">
        <v>0.3597</v>
      </c>
      <c r="BP21" t="n">
        <v>0.35</v>
      </c>
      <c r="BQ21" t="n">
        <v>0.3495</v>
      </c>
      <c r="BR21" t="n">
        <v>0.3476</v>
      </c>
      <c r="BS21" t="n">
        <v>0.3597</v>
      </c>
      <c r="BT21" t="n">
        <v>0.3597</v>
      </c>
      <c r="BU21" t="n">
        <v>0.3717</v>
      </c>
      <c r="BV21" t="n">
        <v>0.3657</v>
      </c>
      <c r="BW21" t="n">
        <v>0.3555</v>
      </c>
      <c r="BX21" t="n">
        <v>0.3633</v>
      </c>
      <c r="BY21" t="n">
        <v>0.3765</v>
      </c>
      <c r="BZ21" t="n">
        <v>0.3946</v>
      </c>
      <c r="CA21" t="n">
        <v>0.3693</v>
      </c>
      <c r="CB21" t="n">
        <v>0.4019</v>
      </c>
      <c r="CC21" t="n">
        <v>0.393</v>
      </c>
      <c r="CD21" t="n">
        <v>0.3983</v>
      </c>
      <c r="CE21" t="n">
        <v>0.3962</v>
      </c>
      <c r="CF21" t="n">
        <v>0.3992</v>
      </c>
      <c r="CG21" t="n">
        <v>0.4066</v>
      </c>
      <c r="CH21" t="n">
        <v>0.4084</v>
      </c>
      <c r="CI21" t="n">
        <v>0.4181</v>
      </c>
      <c r="CJ21" t="n">
        <v>0.4336</v>
      </c>
      <c r="CK21" t="n">
        <v>0.4198</v>
      </c>
      <c r="CL21" t="n">
        <v>0.4262</v>
      </c>
      <c r="CM21" t="n">
        <v>0.4382</v>
      </c>
      <c r="CN21" t="n">
        <v>0.457</v>
      </c>
      <c r="CO21" t="n">
        <v>0.4417</v>
      </c>
      <c r="CP21" t="n">
        <v>0.44</v>
      </c>
      <c r="CQ21" t="n">
        <v>0.4708</v>
      </c>
      <c r="CR21" t="n">
        <v>0.432</v>
      </c>
      <c r="CS21" t="n">
        <v>0.4384</v>
      </c>
      <c r="CT21" t="n">
        <v>0.4434</v>
      </c>
      <c r="CU21" t="n">
        <v>0.4476</v>
      </c>
      <c r="CV21" t="n">
        <v>0.4518</v>
      </c>
      <c r="CW21" t="n">
        <v>0.4551</v>
      </c>
      <c r="CX21" t="n">
        <v>0.4732</v>
      </c>
      <c r="CY21" t="n">
        <v>0.4752</v>
      </c>
      <c r="CZ21" t="n">
        <v>0.5071</v>
      </c>
      <c r="DA21" t="n">
        <v>0.4871</v>
      </c>
      <c r="DB21" t="n">
        <v>0.4745</v>
      </c>
      <c r="DC21" t="n">
        <v>0.469</v>
      </c>
      <c r="DD21" t="n">
        <v>0.4804</v>
      </c>
      <c r="DE21" t="n">
        <v>0.4824</v>
      </c>
      <c r="DF21" t="n">
        <v>0.4989</v>
      </c>
      <c r="DG21" t="n">
        <v>0.4966</v>
      </c>
      <c r="DH21" t="n">
        <v>0.511</v>
      </c>
      <c r="DI21" t="n">
        <v>0.4858</v>
      </c>
      <c r="DJ21" t="n">
        <v>0.5405</v>
      </c>
      <c r="DK21" t="n">
        <v>0.5286</v>
      </c>
      <c r="DL21" t="n">
        <v>0.5053</v>
      </c>
      <c r="DM21" t="n">
        <v>0.525</v>
      </c>
      <c r="DN21" t="n">
        <v>0.5348000000000001</v>
      </c>
      <c r="DO21" t="n">
        <v>0.5463</v>
      </c>
      <c r="DP21" t="n">
        <v>0.5261</v>
      </c>
      <c r="DQ21" t="n">
        <v>0.5394</v>
      </c>
      <c r="DR21" t="n">
        <v>0.5325</v>
      </c>
      <c r="DS21" t="n">
        <v>0.5422</v>
      </c>
      <c r="DT21" t="n">
        <v>0.5618</v>
      </c>
      <c r="DU21" t="n">
        <v>0.6056</v>
      </c>
      <c r="DV21" t="n">
        <v>0.5859</v>
      </c>
      <c r="DW21" t="n">
        <v>0.5806</v>
      </c>
      <c r="DX21" t="n">
        <v>0.6172</v>
      </c>
      <c r="DY21" t="n">
        <v>0.6317</v>
      </c>
      <c r="DZ21" t="n">
        <v>0.7192</v>
      </c>
      <c r="EA21" t="n">
        <v>0.8893</v>
      </c>
      <c r="EC21" t="n">
        <v>0.45</v>
      </c>
      <c r="EE21" t="n">
        <v>0.035</v>
      </c>
      <c r="EO21" t="n">
        <v>0.08260000000000001</v>
      </c>
      <c r="EQ21" t="n">
        <v>23</v>
      </c>
      <c r="EW21" t="inlineStr">
        <is>
          <t>Nissan Leaf  [tier 2]</t>
        </is>
      </c>
      <c r="EX21" t="n">
        <v>0.339</v>
      </c>
      <c r="EY21" t="n">
        <v>0.046</v>
      </c>
      <c r="EZ21" t="n">
        <v>0.08699999999999999</v>
      </c>
    </row>
    <row r="22">
      <c r="N22" t="n">
        <v>120000</v>
      </c>
      <c r="O22">
        <f>IFERROR(INDEX($BI$8:$EA$8,MATCH(O$16,$BI$2:$EA$2,0)),"")</f>
        <v/>
      </c>
      <c r="P22">
        <f>IFERROR(INDEX($BI$8:$EA$8,MATCH(P$16,$BI$2:$EA$2,0)),"")</f>
        <v/>
      </c>
      <c r="Q22">
        <f>IFERROR(INDEX($BI$8:$EA$8,MATCH(Q$16,$BI$2:$EA$2,0)),"")</f>
        <v/>
      </c>
      <c r="R22">
        <f>IFERROR(INDEX($BI$8:$EA$8,MATCH(R$16,$BI$2:$EA$2,0)),"")</f>
        <v/>
      </c>
      <c r="S22">
        <f>IFERROR(INDEX($BI$8:$EA$8,MATCH(S$16,$BI$2:$EA$2,0)),"")</f>
        <v/>
      </c>
      <c r="T22">
        <f>IFERROR(INDEX($BI$8:$EA$8,MATCH(T$16,$BI$2:$EA$2,0)),"")</f>
        <v/>
      </c>
      <c r="U22">
        <f>IFERROR(INDEX($BI$8:$EA$8,MATCH(U$16,$BI$2:$EA$2,0)),"")</f>
        <v/>
      </c>
      <c r="V22">
        <f>IFERROR(INDEX($BI$8:$EA$8,MATCH(V$16,$BI$2:$EA$2,0)),"")</f>
        <v/>
      </c>
      <c r="W22">
        <f>IFERROR(INDEX($BI$8:$EA$8,MATCH(W$16,$BI$2:$EA$2,0)),"")</f>
        <v/>
      </c>
      <c r="X22">
        <f>IFERROR(INDEX($BI$8:$EA$8,MATCH(X$16,$BI$2:$EA$2,0)),"")</f>
        <v/>
      </c>
      <c r="BH22" t="n">
        <v>25000</v>
      </c>
      <c r="BI22" t="n">
        <v>0.2763</v>
      </c>
      <c r="BJ22" t="n">
        <v>0.2796</v>
      </c>
      <c r="BK22" t="n">
        <v>0.3019</v>
      </c>
      <c r="BL22" t="n">
        <v>0.2871</v>
      </c>
      <c r="BM22" t="n">
        <v>0.3277</v>
      </c>
      <c r="BN22" t="n">
        <v>0.3047</v>
      </c>
      <c r="BO22" t="n">
        <v>0.3481</v>
      </c>
      <c r="BP22" t="n">
        <v>0.3299</v>
      </c>
      <c r="BQ22" t="n">
        <v>0.3314</v>
      </c>
      <c r="BR22" t="n">
        <v>0.3309</v>
      </c>
      <c r="BS22" t="n">
        <v>0.3458</v>
      </c>
      <c r="BT22" t="n">
        <v>0.3429</v>
      </c>
      <c r="BU22" t="n">
        <v>0.3597</v>
      </c>
      <c r="BV22" t="n">
        <v>0.3516</v>
      </c>
      <c r="BW22" t="n">
        <v>0.3316</v>
      </c>
      <c r="BX22" t="n">
        <v>0.3435</v>
      </c>
      <c r="BY22" t="n">
        <v>0.358</v>
      </c>
      <c r="BZ22" t="n">
        <v>0.3819</v>
      </c>
      <c r="CA22" t="n">
        <v>0.3418</v>
      </c>
      <c r="CB22" t="n">
        <v>0.3865</v>
      </c>
      <c r="CC22" t="n">
        <v>0.3695</v>
      </c>
      <c r="CD22" t="n">
        <v>0.3817</v>
      </c>
      <c r="CE22" t="n">
        <v>0.3779</v>
      </c>
      <c r="CF22" t="n">
        <v>0.3796</v>
      </c>
      <c r="CG22" t="n">
        <v>0.3886</v>
      </c>
      <c r="CH22" t="n">
        <v>0.385</v>
      </c>
      <c r="CI22" t="n">
        <v>0.3997</v>
      </c>
      <c r="CJ22" t="n">
        <v>0.4158</v>
      </c>
      <c r="CK22" t="n">
        <v>0.4023</v>
      </c>
      <c r="CL22" t="n">
        <v>0.4072</v>
      </c>
      <c r="CM22" t="n">
        <v>0.4252</v>
      </c>
      <c r="CN22" t="n">
        <v>0.4495</v>
      </c>
      <c r="CO22" t="n">
        <v>0.4224</v>
      </c>
      <c r="CP22" t="n">
        <v>0.4193</v>
      </c>
      <c r="CQ22" t="n">
        <v>0.4606</v>
      </c>
      <c r="CR22" t="n">
        <v>0.4038</v>
      </c>
      <c r="CS22" t="n">
        <v>0.4162</v>
      </c>
      <c r="CT22" t="n">
        <v>0.4213</v>
      </c>
      <c r="CU22" t="n">
        <v>0.4265</v>
      </c>
      <c r="CV22" t="n">
        <v>0.4283</v>
      </c>
      <c r="CW22" t="n">
        <v>0.4269</v>
      </c>
      <c r="CX22" t="n">
        <v>0.4585</v>
      </c>
      <c r="CY22" t="n">
        <v>0.4558</v>
      </c>
      <c r="CZ22" t="n">
        <v>0.5014999999999999</v>
      </c>
      <c r="DA22" t="n">
        <v>0.4714</v>
      </c>
      <c r="DB22" t="n">
        <v>0.4581</v>
      </c>
      <c r="DC22" t="n">
        <v>0.4504</v>
      </c>
      <c r="DD22" t="n">
        <v>0.4612</v>
      </c>
      <c r="DE22" t="n">
        <v>0.4526</v>
      </c>
      <c r="DF22" t="n">
        <v>0.4813</v>
      </c>
      <c r="DG22" t="n">
        <v>0.4784</v>
      </c>
      <c r="DH22" t="n">
        <v>0.4931</v>
      </c>
      <c r="DI22" t="n">
        <v>0.4612</v>
      </c>
      <c r="DJ22" t="n">
        <v>0.5366</v>
      </c>
      <c r="DK22" t="n">
        <v>0.5117</v>
      </c>
      <c r="DL22" t="n">
        <v>0.4863</v>
      </c>
      <c r="DM22" t="n">
        <v>0.5056</v>
      </c>
      <c r="DN22" t="n">
        <v>0.517</v>
      </c>
      <c r="DO22" t="n">
        <v>0.5251</v>
      </c>
      <c r="DP22" t="n">
        <v>0.5024</v>
      </c>
      <c r="DQ22" t="n">
        <v>0.5162</v>
      </c>
      <c r="DR22" t="n">
        <v>0.5081</v>
      </c>
      <c r="DS22" t="n">
        <v>0.5129</v>
      </c>
      <c r="DT22" t="n">
        <v>0.5325</v>
      </c>
      <c r="DU22" t="n">
        <v>0.5937</v>
      </c>
      <c r="DV22" t="n">
        <v>0.57</v>
      </c>
      <c r="DW22" t="n">
        <v>0.5505</v>
      </c>
      <c r="DX22" t="n">
        <v>0.6052999999999999</v>
      </c>
      <c r="DY22" t="n">
        <v>0.6022999999999999</v>
      </c>
      <c r="DZ22" t="n">
        <v>0.6661</v>
      </c>
      <c r="EA22" t="n">
        <v>0.8206</v>
      </c>
      <c r="EC22" t="n">
        <v>0.456</v>
      </c>
      <c r="EE22" t="n">
        <v>0.037</v>
      </c>
      <c r="EO22" t="n">
        <v>0.08450000000000001</v>
      </c>
      <c r="EQ22" t="n">
        <v>16</v>
      </c>
      <c r="EW22" t="inlineStr">
        <is>
          <t>Honda Civic  [tier 2]</t>
        </is>
      </c>
      <c r="EX22" t="n">
        <v>0.357</v>
      </c>
      <c r="EY22" t="n">
        <v>0.028</v>
      </c>
      <c r="EZ22" t="n">
        <v>0.032</v>
      </c>
    </row>
    <row r="23">
      <c r="N23" t="n">
        <v>140000</v>
      </c>
      <c r="O23">
        <f>IFERROR(INDEX($BI$9:$EA$9,MATCH(O$16,$BI$2:$EA$2,0)),"")</f>
        <v/>
      </c>
      <c r="P23">
        <f>IFERROR(INDEX($BI$9:$EA$9,MATCH(P$16,$BI$2:$EA$2,0)),"")</f>
        <v/>
      </c>
      <c r="Q23">
        <f>IFERROR(INDEX($BI$9:$EA$9,MATCH(Q$16,$BI$2:$EA$2,0)),"")</f>
        <v/>
      </c>
      <c r="R23">
        <f>IFERROR(INDEX($BI$9:$EA$9,MATCH(R$16,$BI$2:$EA$2,0)),"")</f>
        <v/>
      </c>
      <c r="S23">
        <f>IFERROR(INDEX($BI$9:$EA$9,MATCH(S$16,$BI$2:$EA$2,0)),"")</f>
        <v/>
      </c>
      <c r="T23">
        <f>IFERROR(INDEX($BI$9:$EA$9,MATCH(T$16,$BI$2:$EA$2,0)),"")</f>
        <v/>
      </c>
      <c r="U23">
        <f>IFERROR(INDEX($BI$9:$EA$9,MATCH(U$16,$BI$2:$EA$2,0)),"")</f>
        <v/>
      </c>
      <c r="V23">
        <f>IFERROR(INDEX($BI$9:$EA$9,MATCH(V$16,$BI$2:$EA$2,0)),"")</f>
        <v/>
      </c>
      <c r="W23">
        <f>IFERROR(INDEX($BI$9:$EA$9,MATCH(W$16,$BI$2:$EA$2,0)),"")</f>
        <v/>
      </c>
      <c r="X23">
        <f>IFERROR(INDEX($BI$9:$EA$9,MATCH(X$16,$BI$2:$EA$2,0)),"")</f>
        <v/>
      </c>
      <c r="EC23" t="n">
        <v>0.461</v>
      </c>
      <c r="EE23" t="n">
        <v>0.032</v>
      </c>
      <c r="EO23" t="n">
        <v>0.0862</v>
      </c>
      <c r="EQ23" t="n">
        <v>69</v>
      </c>
      <c r="EW23" t="inlineStr">
        <is>
          <t>Toyota Camry Hybrid  [tier 2]</t>
        </is>
      </c>
      <c r="EX23" t="n">
        <v>0.335</v>
      </c>
      <c r="EY23" t="n">
        <v>0.033</v>
      </c>
      <c r="EZ23" t="n">
        <v>0.043</v>
      </c>
    </row>
    <row r="24">
      <c r="N24" t="n">
        <v>160000</v>
      </c>
      <c r="O24">
        <f>IFERROR(INDEX($BI$10:$EA$10,MATCH(O$16,$BI$2:$EA$2,0)),"")</f>
        <v/>
      </c>
      <c r="P24">
        <f>IFERROR(INDEX($BI$10:$EA$10,MATCH(P$16,$BI$2:$EA$2,0)),"")</f>
        <v/>
      </c>
      <c r="Q24">
        <f>IFERROR(INDEX($BI$10:$EA$10,MATCH(Q$16,$BI$2:$EA$2,0)),"")</f>
        <v/>
      </c>
      <c r="R24">
        <f>IFERROR(INDEX($BI$10:$EA$10,MATCH(R$16,$BI$2:$EA$2,0)),"")</f>
        <v/>
      </c>
      <c r="S24">
        <f>IFERROR(INDEX($BI$10:$EA$10,MATCH(S$16,$BI$2:$EA$2,0)),"")</f>
        <v/>
      </c>
      <c r="T24">
        <f>IFERROR(INDEX($BI$10:$EA$10,MATCH(T$16,$BI$2:$EA$2,0)),"")</f>
        <v/>
      </c>
      <c r="U24">
        <f>IFERROR(INDEX($BI$10:$EA$10,MATCH(U$16,$BI$2:$EA$2,0)),"")</f>
        <v/>
      </c>
      <c r="V24">
        <f>IFERROR(INDEX($BI$10:$EA$10,MATCH(V$16,$BI$2:$EA$2,0)),"")</f>
        <v/>
      </c>
      <c r="W24">
        <f>IFERROR(INDEX($BI$10:$EA$10,MATCH(W$16,$BI$2:$EA$2,0)),"")</f>
        <v/>
      </c>
      <c r="X24">
        <f>IFERROR(INDEX($BI$10:$EA$10,MATCH(X$16,$BI$2:$EA$2,0)),"")</f>
        <v/>
      </c>
      <c r="EC24" t="n">
        <v>0.471</v>
      </c>
      <c r="EE24" t="n">
        <v>0.046</v>
      </c>
      <c r="EO24" t="n">
        <v>0.08749999999999999</v>
      </c>
      <c r="EQ24" t="n">
        <v>76</v>
      </c>
      <c r="EW24" t="inlineStr">
        <is>
          <t>Toyota Corolla  [tier 2]</t>
        </is>
      </c>
      <c r="EX24" t="n">
        <v>0.339</v>
      </c>
      <c r="EY24" t="n">
        <v>0.029</v>
      </c>
      <c r="EZ24" t="n">
        <v>0.034</v>
      </c>
    </row>
    <row r="25">
      <c r="N25" t="n">
        <v>180000</v>
      </c>
      <c r="O25">
        <f>IFERROR(INDEX($BI$11:$EA$11,MATCH(O$16,$BI$2:$EA$2,0)),"")</f>
        <v/>
      </c>
      <c r="P25">
        <f>IFERROR(INDEX($BI$11:$EA$11,MATCH(P$16,$BI$2:$EA$2,0)),"")</f>
        <v/>
      </c>
      <c r="Q25">
        <f>IFERROR(INDEX($BI$11:$EA$11,MATCH(Q$16,$BI$2:$EA$2,0)),"")</f>
        <v/>
      </c>
      <c r="R25">
        <f>IFERROR(INDEX($BI$11:$EA$11,MATCH(R$16,$BI$2:$EA$2,0)),"")</f>
        <v/>
      </c>
      <c r="S25">
        <f>IFERROR(INDEX($BI$11:$EA$11,MATCH(S$16,$BI$2:$EA$2,0)),"")</f>
        <v/>
      </c>
      <c r="T25">
        <f>IFERROR(INDEX($BI$11:$EA$11,MATCH(T$16,$BI$2:$EA$2,0)),"")</f>
        <v/>
      </c>
      <c r="U25">
        <f>IFERROR(INDEX($BI$11:$EA$11,MATCH(U$16,$BI$2:$EA$2,0)),"")</f>
        <v/>
      </c>
      <c r="V25">
        <f>IFERROR(INDEX($BI$11:$EA$11,MATCH(V$16,$BI$2:$EA$2,0)),"")</f>
        <v/>
      </c>
      <c r="W25">
        <f>IFERROR(INDEX($BI$11:$EA$11,MATCH(W$16,$BI$2:$EA$2,0)),"")</f>
        <v/>
      </c>
      <c r="X25">
        <f>IFERROR(INDEX($BI$11:$EA$11,MATCH(X$16,$BI$2:$EA$2,0)),"")</f>
        <v/>
      </c>
      <c r="BH25" t="inlineStr">
        <is>
          <t>x</t>
        </is>
      </c>
      <c r="BI25" t="inlineStr">
        <is>
          <t>Chevy Bolt EV</t>
        </is>
      </c>
      <c r="BJ25" t="inlineStr">
        <is>
          <t>Chevy Volt</t>
        </is>
      </c>
      <c r="BK25" t="inlineStr">
        <is>
          <t>Toyota Prius (hybrid)</t>
        </is>
      </c>
      <c r="BL25" t="inlineStr">
        <is>
          <t>Toyota Prius Prime</t>
        </is>
      </c>
      <c r="BM25" t="inlineStr">
        <is>
          <t>Toyota Corolla</t>
        </is>
      </c>
      <c r="BN25" t="inlineStr">
        <is>
          <t>Toyota Camry Hybrid</t>
        </is>
      </c>
      <c r="BO25" t="inlineStr">
        <is>
          <t>Honda Civic</t>
        </is>
      </c>
      <c r="BP25" t="inlineStr">
        <is>
          <t>Nissan Leaf</t>
        </is>
      </c>
      <c r="BQ25" t="inlineStr">
        <is>
          <t>Hyundai Elantra</t>
        </is>
      </c>
      <c r="BR25" t="inlineStr">
        <is>
          <t>Honda Accord</t>
        </is>
      </c>
      <c r="BS25" t="inlineStr">
        <is>
          <t>Kia K4</t>
        </is>
      </c>
      <c r="BT25" t="inlineStr">
        <is>
          <t>Mazda3 (SkyActiv)</t>
        </is>
      </c>
      <c r="BU25" t="inlineStr">
        <is>
          <t>Toyota Camry</t>
        </is>
      </c>
      <c r="BV25" t="inlineStr">
        <is>
          <t>Toyota RAV4 Hybrid</t>
        </is>
      </c>
      <c r="BW25" t="inlineStr">
        <is>
          <t>Kia Niro (hybrid)</t>
        </is>
      </c>
      <c r="BX25" t="inlineStr">
        <is>
          <t>Tesla Model 3</t>
        </is>
      </c>
      <c r="BY25" t="inlineStr">
        <is>
          <t>Hyundai Sonata</t>
        </is>
      </c>
      <c r="BZ25" t="inlineStr">
        <is>
          <t>Toyota RAV4</t>
        </is>
      </c>
      <c r="CA25" t="inlineStr">
        <is>
          <t>Fiat 500</t>
        </is>
      </c>
      <c r="CB25" t="inlineStr">
        <is>
          <t>Honda CR-V</t>
        </is>
      </c>
      <c r="CC25" t="inlineStr">
        <is>
          <t>VW ID.4 (AWD avail)</t>
        </is>
      </c>
      <c r="CD25" t="inlineStr">
        <is>
          <t>Toyota RAV4 Prime</t>
        </is>
      </c>
      <c r="CE25" t="inlineStr">
        <is>
          <t>Kia Soul</t>
        </is>
      </c>
      <c r="CF25" t="inlineStr">
        <is>
          <t>VW Passat</t>
        </is>
      </c>
      <c r="CG25" t="inlineStr">
        <is>
          <t>Buick Encore</t>
        </is>
      </c>
      <c r="CH25" t="inlineStr">
        <is>
          <t>Hyundai Kona</t>
        </is>
      </c>
      <c r="CI25" t="inlineStr">
        <is>
          <t>Mazda CX-5</t>
        </is>
      </c>
      <c r="CJ25" t="inlineStr">
        <is>
          <t>Toyota Highlander Hybrid</t>
        </is>
      </c>
      <c r="CK25" t="inlineStr">
        <is>
          <t>Subaru Outback</t>
        </is>
      </c>
      <c r="CL25" t="inlineStr">
        <is>
          <t>Subaru Forester</t>
        </is>
      </c>
      <c r="CM25" t="inlineStr">
        <is>
          <t>Toyota Sienna Hybrid</t>
        </is>
      </c>
      <c r="CN25" t="inlineStr">
        <is>
          <t>Toyota Tacoma</t>
        </is>
      </c>
      <c r="CO25" t="inlineStr">
        <is>
          <t>Nissan Rogue</t>
        </is>
      </c>
      <c r="CP25" t="inlineStr">
        <is>
          <t>Chevy Equinox</t>
        </is>
      </c>
      <c r="CQ25" t="inlineStr">
        <is>
          <t>Toyota Sienna (V6)</t>
        </is>
      </c>
      <c r="CR25" t="inlineStr">
        <is>
          <t>Mini Cooper</t>
        </is>
      </c>
      <c r="CS25" t="inlineStr">
        <is>
          <t>Ford Ranger (old compact)</t>
        </is>
      </c>
      <c r="CT25" t="inlineStr">
        <is>
          <t>Fiat 500X</t>
        </is>
      </c>
      <c r="CU25" t="inlineStr">
        <is>
          <t>VW GTI</t>
        </is>
      </c>
      <c r="CV25" t="inlineStr">
        <is>
          <t>Kia Sportage</t>
        </is>
      </c>
      <c r="CW25" t="inlineStr">
        <is>
          <t>Ford Escape</t>
        </is>
      </c>
      <c r="CX25" t="inlineStr">
        <is>
          <t>Toyota Highlander</t>
        </is>
      </c>
      <c r="CY25" t="inlineStr">
        <is>
          <t>Hyundai Tucson</t>
        </is>
      </c>
      <c r="CZ25" t="inlineStr">
        <is>
          <t>Toyota 4Runner</t>
        </is>
      </c>
      <c r="DA25" t="inlineStr">
        <is>
          <t>Honda Odyssey</t>
        </is>
      </c>
      <c r="DB25" t="inlineStr">
        <is>
          <t>Kia Sorento</t>
        </is>
      </c>
      <c r="DC25" t="inlineStr">
        <is>
          <t>Hyundai Santa Fe</t>
        </is>
      </c>
      <c r="DD25" t="inlineStr">
        <is>
          <t>VW Tiguan</t>
        </is>
      </c>
      <c r="DE25" t="inlineStr">
        <is>
          <t>Chrysler Pacifica PHEV</t>
        </is>
      </c>
      <c r="DF25" t="inlineStr">
        <is>
          <t>Subaru Ascent</t>
        </is>
      </c>
      <c r="DG25" t="inlineStr">
        <is>
          <t>Ford Ranger (2019+ midsize)</t>
        </is>
      </c>
      <c r="DH25" t="inlineStr">
        <is>
          <t>Honda Pilot</t>
        </is>
      </c>
      <c r="DI25" t="inlineStr">
        <is>
          <t>Mini Countryman</t>
        </is>
      </c>
      <c r="DJ25" t="inlineStr">
        <is>
          <t>Toyota Sequoia</t>
        </is>
      </c>
      <c r="DK25" t="inlineStr">
        <is>
          <t>Hyundai Palisade</t>
        </is>
      </c>
      <c r="DL25" t="inlineStr">
        <is>
          <t>Chrysler Pacifica</t>
        </is>
      </c>
      <c r="DM25" t="inlineStr">
        <is>
          <t>Chevy Colorado</t>
        </is>
      </c>
      <c r="DN25" t="inlineStr">
        <is>
          <t>Kia Telluride</t>
        </is>
      </c>
      <c r="DO25" t="inlineStr">
        <is>
          <t>Mazda CX-90</t>
        </is>
      </c>
      <c r="DP25" t="inlineStr">
        <is>
          <t>Chevy Traverse</t>
        </is>
      </c>
      <c r="DQ25" t="inlineStr">
        <is>
          <t>VW Atlas</t>
        </is>
      </c>
      <c r="DR25" t="inlineStr">
        <is>
          <t>Ford Explorer</t>
        </is>
      </c>
      <c r="DS25" t="inlineStr">
        <is>
          <t>Buick Enclave</t>
        </is>
      </c>
      <c r="DT25" t="inlineStr">
        <is>
          <t>Volvo XC60</t>
        </is>
      </c>
      <c r="DU25" t="inlineStr">
        <is>
          <t>Chevy Tahoe</t>
        </is>
      </c>
      <c r="DV25" t="inlineStr">
        <is>
          <t>Jeep Grand Cherokee L</t>
        </is>
      </c>
      <c r="DW25" t="inlineStr">
        <is>
          <t>Volvo V90 Cross Country</t>
        </is>
      </c>
      <c r="DX25" t="inlineStr">
        <is>
          <t>Chevy Suburban</t>
        </is>
      </c>
      <c r="DY25" t="inlineStr">
        <is>
          <t>Volvo XC90</t>
        </is>
      </c>
      <c r="DZ25" t="inlineStr">
        <is>
          <t>Porsche 996 Carrera</t>
        </is>
      </c>
      <c r="EA25" t="inlineStr">
        <is>
          <t>Porsche 996 Turbo</t>
        </is>
      </c>
      <c r="EC25" t="n">
        <v>0.471</v>
      </c>
      <c r="EE25" t="n">
        <v>0.037</v>
      </c>
      <c r="EO25" t="n">
        <v>0.08749999999999999</v>
      </c>
      <c r="EQ25" t="n">
        <v>64</v>
      </c>
      <c r="EW25" t="inlineStr">
        <is>
          <t>Toyota Prius Prime  [tier 2]</t>
        </is>
      </c>
      <c r="EX25" t="n">
        <v>0.33</v>
      </c>
      <c r="EY25" t="n">
        <v>0.034</v>
      </c>
      <c r="EZ25" t="n">
        <v>0.05</v>
      </c>
    </row>
    <row r="26">
      <c r="N26" t="n">
        <v>200000</v>
      </c>
      <c r="O26">
        <f>IFERROR(INDEX($BI$12:$EA$12,MATCH(O$16,$BI$2:$EA$2,0)),"")</f>
        <v/>
      </c>
      <c r="P26">
        <f>IFERROR(INDEX($BI$12:$EA$12,MATCH(P$16,$BI$2:$EA$2,0)),"")</f>
        <v/>
      </c>
      <c r="Q26">
        <f>IFERROR(INDEX($BI$12:$EA$12,MATCH(Q$16,$BI$2:$EA$2,0)),"")</f>
        <v/>
      </c>
      <c r="R26">
        <f>IFERROR(INDEX($BI$12:$EA$12,MATCH(R$16,$BI$2:$EA$2,0)),"")</f>
        <v/>
      </c>
      <c r="S26">
        <f>IFERROR(INDEX($BI$12:$EA$12,MATCH(S$16,$BI$2:$EA$2,0)),"")</f>
        <v/>
      </c>
      <c r="T26">
        <f>IFERROR(INDEX($BI$12:$EA$12,MATCH(T$16,$BI$2:$EA$2,0)),"")</f>
        <v/>
      </c>
      <c r="U26">
        <f>IFERROR(INDEX($BI$12:$EA$12,MATCH(U$16,$BI$2:$EA$2,0)),"")</f>
        <v/>
      </c>
      <c r="V26">
        <f>IFERROR(INDEX($BI$12:$EA$12,MATCH(V$16,$BI$2:$EA$2,0)),"")</f>
        <v/>
      </c>
      <c r="W26">
        <f>IFERROR(INDEX($BI$12:$EA$12,MATCH(W$16,$BI$2:$EA$2,0)),"")</f>
        <v/>
      </c>
      <c r="X26">
        <f>IFERROR(INDEX($BI$12:$EA$12,MATCH(X$16,$BI$2:$EA$2,0)),"")</f>
        <v/>
      </c>
      <c r="BH26" t="n">
        <v>20000</v>
      </c>
      <c r="BI26" t="n">
        <v>0.3217</v>
      </c>
      <c r="BJ26" t="n">
        <v>0.3251</v>
      </c>
      <c r="BK26" t="n">
        <v>0.3367</v>
      </c>
      <c r="BL26" t="n">
        <v>0.3537</v>
      </c>
      <c r="BM26" t="n">
        <v>0.3502</v>
      </c>
      <c r="BN26" t="n">
        <v>0.3616</v>
      </c>
      <c r="BO26" t="n">
        <v>0.3711</v>
      </c>
      <c r="BP26" t="n">
        <v>0.3929</v>
      </c>
      <c r="BQ26" t="n">
        <v>0.372</v>
      </c>
      <c r="BR26" t="n">
        <v>0.376</v>
      </c>
      <c r="BS26" t="n">
        <v>0.3997</v>
      </c>
      <c r="BT26" t="n">
        <v>0.3816</v>
      </c>
      <c r="BU26" t="n">
        <v>0.3773</v>
      </c>
      <c r="BV26" t="n">
        <v>0.3847</v>
      </c>
      <c r="BW26" t="n">
        <v>0.3851</v>
      </c>
      <c r="BX26" t="n">
        <v>0.4182</v>
      </c>
      <c r="BY26" t="n">
        <v>0.4022</v>
      </c>
      <c r="BZ26" t="n">
        <v>0.405</v>
      </c>
      <c r="CA26" t="n">
        <v>0.4253</v>
      </c>
      <c r="CB26" t="n">
        <v>0.4098</v>
      </c>
      <c r="CC26" t="n">
        <v>0.4323</v>
      </c>
      <c r="CD26" t="n">
        <v>0.4228</v>
      </c>
      <c r="CE26" t="n">
        <v>0.418</v>
      </c>
      <c r="CF26" t="n">
        <v>0.4303</v>
      </c>
      <c r="CG26" t="n">
        <v>0.4315</v>
      </c>
      <c r="CH26" t="n">
        <v>0.4356</v>
      </c>
      <c r="CI26" t="n">
        <v>0.4361</v>
      </c>
      <c r="CJ26" t="n">
        <v>0.4498</v>
      </c>
      <c r="CK26" t="n">
        <v>0.4524</v>
      </c>
      <c r="CL26" t="n">
        <v>0.4518</v>
      </c>
      <c r="CM26" t="n">
        <v>0.4494</v>
      </c>
      <c r="CN26" t="n">
        <v>0.4478</v>
      </c>
      <c r="CO26" t="n">
        <v>0.4735</v>
      </c>
      <c r="CP26" t="n">
        <v>0.4747</v>
      </c>
      <c r="CQ26" t="n">
        <v>0.4525</v>
      </c>
      <c r="CR26" t="n">
        <v>0.4751</v>
      </c>
      <c r="CS26" t="n">
        <v>0.4439</v>
      </c>
      <c r="CT26" t="n">
        <v>0.4888</v>
      </c>
      <c r="CU26" t="n">
        <v>0.4817</v>
      </c>
      <c r="CV26" t="n">
        <v>0.4757</v>
      </c>
      <c r="CW26" t="n">
        <v>0.4928</v>
      </c>
      <c r="CX26" t="n">
        <v>0.4785</v>
      </c>
      <c r="CY26" t="n">
        <v>0.5051</v>
      </c>
      <c r="CZ26" t="n">
        <v>0.493</v>
      </c>
      <c r="DA26" t="n">
        <v>0.5044999999999999</v>
      </c>
      <c r="DB26" t="n">
        <v>0.4961</v>
      </c>
      <c r="DC26" t="n">
        <v>0.4958</v>
      </c>
      <c r="DD26" t="n">
        <v>0.5034999999999999</v>
      </c>
      <c r="DE26" t="n">
        <v>0.5243</v>
      </c>
      <c r="DF26" t="n">
        <v>0.5182</v>
      </c>
      <c r="DG26" t="n">
        <v>0.5557</v>
      </c>
      <c r="DH26" t="n">
        <v>0.5128</v>
      </c>
      <c r="DI26" t="n">
        <v>0.5299</v>
      </c>
      <c r="DJ26" t="n">
        <v>0.507</v>
      </c>
      <c r="DK26" t="n">
        <v>0.5426</v>
      </c>
      <c r="DL26" t="n">
        <v>0.5478</v>
      </c>
      <c r="DM26" t="n">
        <v>0.5561</v>
      </c>
      <c r="DN26" t="n">
        <v>0.5501</v>
      </c>
      <c r="DO26" t="n">
        <v>0.5757</v>
      </c>
      <c r="DP26" t="n">
        <v>0.5566</v>
      </c>
      <c r="DQ26" t="n">
        <v>0.5634</v>
      </c>
      <c r="DR26" t="n">
        <v>0.5631</v>
      </c>
      <c r="DS26" t="n">
        <v>0.5703</v>
      </c>
      <c r="DT26" t="n">
        <v>0.5948</v>
      </c>
      <c r="DU26" t="n">
        <v>0.5905</v>
      </c>
      <c r="DV26" t="n">
        <v>0.615</v>
      </c>
      <c r="DW26" t="n">
        <v>0.6052</v>
      </c>
      <c r="DX26" t="n">
        <v>0.6005</v>
      </c>
      <c r="DY26" t="n">
        <v>0.6787</v>
      </c>
      <c r="DZ26" t="n">
        <v>0.8782</v>
      </c>
      <c r="EA26" t="n">
        <v>1.1177</v>
      </c>
      <c r="EC26" t="n">
        <v>0.481</v>
      </c>
      <c r="EE26" t="n">
        <v>0.038</v>
      </c>
      <c r="EO26" t="n">
        <v>0.0881</v>
      </c>
      <c r="EQ26" t="n">
        <v>63</v>
      </c>
      <c r="EW26" t="inlineStr">
        <is>
          <t>Toyota Prius (hybrid)  [tier 1]</t>
        </is>
      </c>
      <c r="EX26" t="n">
        <v>0.321</v>
      </c>
      <c r="EY26" t="n">
        <v>0.032</v>
      </c>
      <c r="EZ26" t="n">
        <v>0.034</v>
      </c>
    </row>
    <row r="27">
      <c r="BH27" t="n">
        <v>40000</v>
      </c>
      <c r="BI27" t="n">
        <v>0.3197</v>
      </c>
      <c r="BJ27" t="n">
        <v>0.3263</v>
      </c>
      <c r="BK27" t="n">
        <v>0.3529</v>
      </c>
      <c r="BL27" t="n">
        <v>0.3492</v>
      </c>
      <c r="BM27" t="n">
        <v>0.3679</v>
      </c>
      <c r="BN27" t="n">
        <v>0.3527</v>
      </c>
      <c r="BO27" t="n">
        <v>0.3918</v>
      </c>
      <c r="BP27" t="n">
        <v>0.383</v>
      </c>
      <c r="BQ27" t="n">
        <v>0.3851</v>
      </c>
      <c r="BR27" t="n">
        <v>0.3692</v>
      </c>
      <c r="BS27" t="n">
        <v>0.4164</v>
      </c>
      <c r="BT27" t="n">
        <v>0.3756</v>
      </c>
      <c r="BU27" t="n">
        <v>0.3907</v>
      </c>
      <c r="BV27" t="n">
        <v>0.399</v>
      </c>
      <c r="BW27" t="n">
        <v>0.3931</v>
      </c>
      <c r="BX27" t="n">
        <v>0.4089</v>
      </c>
      <c r="BY27" t="n">
        <v>0.4123</v>
      </c>
      <c r="BZ27" t="n">
        <v>0.4204</v>
      </c>
      <c r="CA27" t="n">
        <v>0.4422</v>
      </c>
      <c r="CB27" t="n">
        <v>0.4151</v>
      </c>
      <c r="CC27" t="n">
        <v>0.4344</v>
      </c>
      <c r="CD27" t="n">
        <v>0.4293</v>
      </c>
      <c r="CE27" t="n">
        <v>0.4263</v>
      </c>
      <c r="CF27" t="n">
        <v>0.4394</v>
      </c>
      <c r="CG27" t="n">
        <v>0.4446</v>
      </c>
      <c r="CH27" t="n">
        <v>0.4441</v>
      </c>
      <c r="CI27" t="n">
        <v>0.4449</v>
      </c>
      <c r="CJ27" t="n">
        <v>0.4587</v>
      </c>
      <c r="CK27" t="n">
        <v>0.4516</v>
      </c>
      <c r="CL27" t="n">
        <v>0.4626</v>
      </c>
      <c r="CM27" t="n">
        <v>0.4596</v>
      </c>
      <c r="CN27" t="n">
        <v>0.4547</v>
      </c>
      <c r="CO27" t="n">
        <v>0.4717</v>
      </c>
      <c r="CP27" t="n">
        <v>0.4793</v>
      </c>
      <c r="CQ27" t="n">
        <v>0.4749</v>
      </c>
      <c r="CR27" t="n">
        <v>0.4898</v>
      </c>
      <c r="CS27" t="n">
        <v>0.4763</v>
      </c>
      <c r="CT27" t="n">
        <v>0.5057</v>
      </c>
      <c r="CU27" t="n">
        <v>0.4913</v>
      </c>
      <c r="CV27" t="n">
        <v>0.4836</v>
      </c>
      <c r="CW27" t="n">
        <v>0.4876</v>
      </c>
      <c r="CX27" t="n">
        <v>0.4877</v>
      </c>
      <c r="CY27" t="n">
        <v>0.5059</v>
      </c>
      <c r="CZ27" t="n">
        <v>0.5063</v>
      </c>
      <c r="DA27" t="n">
        <v>0.5075</v>
      </c>
      <c r="DB27" t="n">
        <v>0.5054</v>
      </c>
      <c r="DC27" t="n">
        <v>0.5042</v>
      </c>
      <c r="DD27" t="n">
        <v>0.5135</v>
      </c>
      <c r="DE27" t="n">
        <v>0.5265</v>
      </c>
      <c r="DF27" t="n">
        <v>0.5324</v>
      </c>
      <c r="DG27" t="n">
        <v>0.5425</v>
      </c>
      <c r="DH27" t="n">
        <v>0.5188</v>
      </c>
      <c r="DI27" t="n">
        <v>0.542</v>
      </c>
      <c r="DJ27" t="n">
        <v>0.5291</v>
      </c>
      <c r="DK27" t="n">
        <v>0.5605</v>
      </c>
      <c r="DL27" t="n">
        <v>0.5481</v>
      </c>
      <c r="DM27" t="n">
        <v>0.5536</v>
      </c>
      <c r="DN27" t="n">
        <v>0.5684</v>
      </c>
      <c r="DO27" t="n">
        <v>0.5913</v>
      </c>
      <c r="DP27" t="n">
        <v>0.5643</v>
      </c>
      <c r="DQ27" t="n">
        <v>0.5689</v>
      </c>
      <c r="DR27" t="n">
        <v>0.5714</v>
      </c>
      <c r="DS27" t="n">
        <v>0.5736</v>
      </c>
      <c r="DT27" t="n">
        <v>0.6057</v>
      </c>
      <c r="DU27" t="n">
        <v>0.6207</v>
      </c>
      <c r="DV27" t="n">
        <v>0.6239</v>
      </c>
      <c r="DW27" t="n">
        <v>0.6289</v>
      </c>
      <c r="DX27" t="n">
        <v>0.6315</v>
      </c>
      <c r="DY27" t="n">
        <v>0.6878</v>
      </c>
      <c r="DZ27" t="n">
        <v>0.88</v>
      </c>
      <c r="EA27" t="n">
        <v>1.103</v>
      </c>
      <c r="EC27" t="n">
        <v>0.486</v>
      </c>
      <c r="EE27" t="n">
        <v>0.043</v>
      </c>
      <c r="EO27" t="n">
        <v>0.0881</v>
      </c>
      <c r="EQ27" t="n">
        <v>62</v>
      </c>
      <c r="EW27" t="inlineStr">
        <is>
          <t>Chevy Volt  [tier 1]</t>
        </is>
      </c>
      <c r="EX27" t="n">
        <v>0.307</v>
      </c>
      <c r="EY27" t="n">
        <v>0.028</v>
      </c>
      <c r="EZ27" t="n">
        <v>0.05</v>
      </c>
    </row>
    <row r="28">
      <c r="BH28" t="n">
        <v>60000</v>
      </c>
      <c r="BI28" t="n">
        <v>0.3442</v>
      </c>
      <c r="BJ28" t="n">
        <v>0.3465</v>
      </c>
      <c r="BK28" t="n">
        <v>0.373</v>
      </c>
      <c r="BL28" t="n">
        <v>0.3534</v>
      </c>
      <c r="BM28" t="n">
        <v>0.3745</v>
      </c>
      <c r="BN28" t="n">
        <v>0.3569</v>
      </c>
      <c r="BO28" t="n">
        <v>0.4121</v>
      </c>
      <c r="BP28" t="n">
        <v>0.4184</v>
      </c>
      <c r="BQ28" t="n">
        <v>0.402</v>
      </c>
      <c r="BR28" t="n">
        <v>0.3804</v>
      </c>
      <c r="BS28" t="n">
        <v>0.4426</v>
      </c>
      <c r="BT28" t="n">
        <v>0.3917</v>
      </c>
      <c r="BU28" t="n">
        <v>0.4031</v>
      </c>
      <c r="BV28" t="n">
        <v>0.4205</v>
      </c>
      <c r="BW28" t="n">
        <v>0.4038</v>
      </c>
      <c r="BX28" t="n">
        <v>0.4196</v>
      </c>
      <c r="BY28" t="n">
        <v>0.4263</v>
      </c>
      <c r="BZ28" t="n">
        <v>0.4235</v>
      </c>
      <c r="CA28" t="n">
        <v>0.4784</v>
      </c>
      <c r="CB28" t="n">
        <v>0.424</v>
      </c>
      <c r="CC28" t="n">
        <v>0.4795</v>
      </c>
      <c r="CD28" t="n">
        <v>0.4597</v>
      </c>
      <c r="CE28" t="n">
        <v>0.4432</v>
      </c>
      <c r="CF28" t="n">
        <v>0.4598</v>
      </c>
      <c r="CG28" t="n">
        <v>0.4639</v>
      </c>
      <c r="CH28" t="n">
        <v>0.4559</v>
      </c>
      <c r="CI28" t="n">
        <v>0.4581</v>
      </c>
      <c r="CJ28" t="n">
        <v>0.4693</v>
      </c>
      <c r="CK28" t="n">
        <v>0.4619</v>
      </c>
      <c r="CL28" t="n">
        <v>0.4825</v>
      </c>
      <c r="CM28" t="n">
        <v>0.4752</v>
      </c>
      <c r="CN28" t="n">
        <v>0.4679</v>
      </c>
      <c r="CO28" t="n">
        <v>0.5024999999999999</v>
      </c>
      <c r="CP28" t="n">
        <v>0.5017</v>
      </c>
      <c r="CQ28" t="n">
        <v>0.4907</v>
      </c>
      <c r="CR28" t="n">
        <v>0.5132</v>
      </c>
      <c r="CS28" t="n">
        <v>0.5105</v>
      </c>
      <c r="CT28" t="n">
        <v>0.5343</v>
      </c>
      <c r="CU28" t="n">
        <v>0.5084</v>
      </c>
      <c r="CV28" t="n">
        <v>0.4961</v>
      </c>
      <c r="CW28" t="n">
        <v>0.5046</v>
      </c>
      <c r="CX28" t="n">
        <v>0.4983</v>
      </c>
      <c r="CY28" t="n">
        <v>0.536</v>
      </c>
      <c r="CZ28" t="n">
        <v>0.5223</v>
      </c>
      <c r="DA28" t="n">
        <v>0.5181</v>
      </c>
      <c r="DB28" t="n">
        <v>0.5158</v>
      </c>
      <c r="DC28" t="n">
        <v>0.5137</v>
      </c>
      <c r="DD28" t="n">
        <v>0.5329</v>
      </c>
      <c r="DE28" t="n">
        <v>0.5402</v>
      </c>
      <c r="DF28" t="n">
        <v>0.5584</v>
      </c>
      <c r="DG28" t="n">
        <v>0.5601</v>
      </c>
      <c r="DH28" t="n">
        <v>0.5342</v>
      </c>
      <c r="DI28" t="n">
        <v>0.5649</v>
      </c>
      <c r="DJ28" t="n">
        <v>0.5412</v>
      </c>
      <c r="DK28" t="n">
        <v>0.586</v>
      </c>
      <c r="DL28" t="n">
        <v>0.5637</v>
      </c>
      <c r="DM28" t="n">
        <v>0.5745</v>
      </c>
      <c r="DN28" t="n">
        <v>0.631</v>
      </c>
      <c r="DO28" t="n">
        <v>0.6187</v>
      </c>
      <c r="DP28" t="n">
        <v>0.5780999999999999</v>
      </c>
      <c r="DQ28" t="n">
        <v>0.589</v>
      </c>
      <c r="DR28" t="n">
        <v>0.5857</v>
      </c>
      <c r="DS28" t="n">
        <v>0.5806</v>
      </c>
      <c r="DT28" t="n">
        <v>0.6197</v>
      </c>
      <c r="DU28" t="n">
        <v>0.6574</v>
      </c>
      <c r="DV28" t="n">
        <v>0.6657999999999999</v>
      </c>
      <c r="DW28" t="n">
        <v>0.6412</v>
      </c>
      <c r="DX28" t="n">
        <v>0.6692</v>
      </c>
      <c r="DY28" t="n">
        <v>0.7007</v>
      </c>
      <c r="DZ28" t="n">
        <v>0.911</v>
      </c>
      <c r="EA28" t="n">
        <v>1.1213</v>
      </c>
      <c r="EC28" t="n">
        <v>0.488</v>
      </c>
      <c r="EE28" t="n">
        <v>0.043</v>
      </c>
      <c r="EO28" t="n">
        <v>0.08939999999999999</v>
      </c>
      <c r="EQ28" t="n">
        <v>16</v>
      </c>
      <c r="EW28" t="inlineStr">
        <is>
          <t>Chevy Bolt EV  [tier 1]</t>
        </is>
      </c>
      <c r="EX28" t="n">
        <v>0.289</v>
      </c>
      <c r="EY28" t="n">
        <v>0.026</v>
      </c>
      <c r="EZ28" t="n">
        <v>0.074</v>
      </c>
    </row>
    <row r="29">
      <c r="BH29" t="n">
        <v>80000</v>
      </c>
      <c r="BI29" t="n">
        <v>0.3659</v>
      </c>
      <c r="BJ29" t="n">
        <v>0.3661</v>
      </c>
      <c r="BK29" t="n">
        <v>0.39</v>
      </c>
      <c r="BL29" t="n">
        <v>0.3629</v>
      </c>
      <c r="BM29" t="n">
        <v>0.4083</v>
      </c>
      <c r="BN29" t="n">
        <v>0.3696</v>
      </c>
      <c r="BO29" t="n">
        <v>0.4297</v>
      </c>
      <c r="BP29" t="n">
        <v>0.4592</v>
      </c>
      <c r="BQ29" t="n">
        <v>0.418</v>
      </c>
      <c r="BR29" t="n">
        <v>0.3987</v>
      </c>
      <c r="BS29" t="n">
        <v>0.4638</v>
      </c>
      <c r="BT29" t="n">
        <v>0.41</v>
      </c>
      <c r="BU29" t="n">
        <v>0.4188</v>
      </c>
      <c r="BV29" t="n">
        <v>0.4402</v>
      </c>
      <c r="BW29" t="n">
        <v>0.4231</v>
      </c>
      <c r="BX29" t="n">
        <v>0.4446</v>
      </c>
      <c r="BY29" t="n">
        <v>0.4406</v>
      </c>
      <c r="BZ29" t="n">
        <v>0.4342</v>
      </c>
      <c r="CA29" t="n">
        <v>0.5003</v>
      </c>
      <c r="CB29" t="n">
        <v>0.443</v>
      </c>
      <c r="CC29" t="n">
        <v>0.5097</v>
      </c>
      <c r="CD29" t="n">
        <v>0.4815</v>
      </c>
      <c r="CE29" t="n">
        <v>0.4853</v>
      </c>
      <c r="CF29" t="n">
        <v>0.4781</v>
      </c>
      <c r="CG29" t="n">
        <v>0.4809</v>
      </c>
      <c r="CH29" t="n">
        <v>0.4763</v>
      </c>
      <c r="CI29" t="n">
        <v>0.474</v>
      </c>
      <c r="CJ29" t="n">
        <v>0.4984</v>
      </c>
      <c r="CK29" t="n">
        <v>0.4799</v>
      </c>
      <c r="CL29" t="n">
        <v>0.5125</v>
      </c>
      <c r="CM29" t="n">
        <v>0.4949</v>
      </c>
      <c r="CN29" t="n">
        <v>0.4836</v>
      </c>
      <c r="CO29" t="n">
        <v>0.5446</v>
      </c>
      <c r="CP29" t="n">
        <v>0.5592</v>
      </c>
      <c r="CQ29" t="n">
        <v>0.5097</v>
      </c>
      <c r="CR29" t="n">
        <v>0.5377999999999999</v>
      </c>
      <c r="CS29" t="n">
        <v>0.5431</v>
      </c>
      <c r="CT29" t="n">
        <v>0.5538999999999999</v>
      </c>
      <c r="CU29" t="n">
        <v>0.5296</v>
      </c>
      <c r="CV29" t="n">
        <v>0.5128</v>
      </c>
      <c r="CW29" t="n">
        <v>0.5516</v>
      </c>
      <c r="CX29" t="n">
        <v>0.527</v>
      </c>
      <c r="CY29" t="n">
        <v>0.571</v>
      </c>
      <c r="CZ29" t="n">
        <v>0.5396</v>
      </c>
      <c r="DA29" t="n">
        <v>0.5276999999999999</v>
      </c>
      <c r="DB29" t="n">
        <v>0.5334</v>
      </c>
      <c r="DC29" t="n">
        <v>0.5299</v>
      </c>
      <c r="DD29" t="n">
        <v>0.5579</v>
      </c>
      <c r="DE29" t="n">
        <v>0.5681</v>
      </c>
      <c r="DF29" t="n">
        <v>0.5976</v>
      </c>
      <c r="DG29" t="n">
        <v>0.5952</v>
      </c>
      <c r="DH29" t="n">
        <v>0.5501</v>
      </c>
      <c r="DI29" t="n">
        <v>0.5828</v>
      </c>
      <c r="DJ29" t="n">
        <v>0.5571</v>
      </c>
      <c r="DK29" t="n">
        <v>0.6266</v>
      </c>
      <c r="DL29" t="n">
        <v>0.5780999999999999</v>
      </c>
      <c r="DM29" t="n">
        <v>0.6036</v>
      </c>
      <c r="DN29" t="n">
        <v>0.6616</v>
      </c>
      <c r="DO29" t="n">
        <v>0.6647999999999999</v>
      </c>
      <c r="DP29" t="n">
        <v>0.6007</v>
      </c>
      <c r="DQ29" t="n">
        <v>0.6177</v>
      </c>
      <c r="DR29" t="n">
        <v>0.6304999999999999</v>
      </c>
      <c r="DS29" t="n">
        <v>0.5957</v>
      </c>
      <c r="DT29" t="n">
        <v>0.6415</v>
      </c>
      <c r="DU29" t="n">
        <v>0.66</v>
      </c>
      <c r="DV29" t="n">
        <v>0.6892</v>
      </c>
      <c r="DW29" t="n">
        <v>0.6594</v>
      </c>
      <c r="DX29" t="n">
        <v>0.6716</v>
      </c>
      <c r="DY29" t="n">
        <v>0.7207</v>
      </c>
      <c r="DZ29" t="n">
        <v>0.9411</v>
      </c>
      <c r="EA29" t="n">
        <v>1.1418</v>
      </c>
      <c r="EC29" t="n">
        <v>0.493</v>
      </c>
      <c r="EE29" t="n">
        <v>0.029</v>
      </c>
      <c r="EO29" t="n">
        <v>0.0901</v>
      </c>
      <c r="EQ29" t="n">
        <v>48</v>
      </c>
    </row>
    <row r="30">
      <c r="BH30" t="n">
        <v>100000</v>
      </c>
      <c r="BI30" t="n">
        <v>0.3951</v>
      </c>
      <c r="BJ30" t="n">
        <v>0.3916</v>
      </c>
      <c r="BK30" t="n">
        <v>0.4002</v>
      </c>
      <c r="BL30" t="n">
        <v>0.3778</v>
      </c>
      <c r="BM30" t="n">
        <v>0.4197</v>
      </c>
      <c r="BN30" t="n">
        <v>0.4093</v>
      </c>
      <c r="BO30" t="n">
        <v>0.4485</v>
      </c>
      <c r="BP30" t="n">
        <v>0.546</v>
      </c>
      <c r="BQ30" t="n">
        <v>0.4377</v>
      </c>
      <c r="BR30" t="n">
        <v>0.4356</v>
      </c>
      <c r="BS30" t="n">
        <v>0.4954</v>
      </c>
      <c r="BT30" t="n">
        <v>0.414</v>
      </c>
      <c r="BU30" t="n">
        <v>0.4534</v>
      </c>
      <c r="BV30" t="n">
        <v>0.4545</v>
      </c>
      <c r="BW30" t="n">
        <v>0.4487</v>
      </c>
      <c r="BX30" t="n">
        <v>0.4938</v>
      </c>
      <c r="BY30" t="n">
        <v>0.4657</v>
      </c>
      <c r="BZ30" t="n">
        <v>0.4457</v>
      </c>
      <c r="CA30" t="n">
        <v>0.5456</v>
      </c>
      <c r="CB30" t="n">
        <v>0.5054999999999999</v>
      </c>
      <c r="CC30" t="n">
        <v>0.5545</v>
      </c>
      <c r="CD30" t="n">
        <v>0.5092</v>
      </c>
      <c r="CE30" t="n">
        <v>0.487</v>
      </c>
      <c r="CF30" t="n">
        <v>0.5012</v>
      </c>
      <c r="CG30" t="n">
        <v>0.5044999999999999</v>
      </c>
      <c r="CH30" t="n">
        <v>0.5296999999999999</v>
      </c>
      <c r="CI30" t="n">
        <v>0.4946</v>
      </c>
      <c r="CJ30" t="n">
        <v>0.4979</v>
      </c>
      <c r="CK30" t="n">
        <v>0.5125</v>
      </c>
      <c r="CL30" t="n">
        <v>0.5558999999999999</v>
      </c>
      <c r="CM30" t="n">
        <v>0.515</v>
      </c>
      <c r="CN30" t="n">
        <v>0.5008</v>
      </c>
      <c r="CO30" t="n">
        <v>0.6075</v>
      </c>
      <c r="CP30" t="n">
        <v>0.6173</v>
      </c>
      <c r="CQ30" t="n">
        <v>0.5306999999999999</v>
      </c>
      <c r="CR30" t="n">
        <v>0.5614</v>
      </c>
      <c r="CS30" t="n">
        <v>0.5881999999999999</v>
      </c>
      <c r="CT30" t="n">
        <v>0.6324</v>
      </c>
      <c r="CU30" t="n">
        <v>0.5521</v>
      </c>
      <c r="CV30" t="n">
        <v>0.5447</v>
      </c>
      <c r="CW30" t="n">
        <v>0.5538999999999999</v>
      </c>
      <c r="CX30" t="n">
        <v>0.5256999999999999</v>
      </c>
      <c r="CY30" t="n">
        <v>0.6326000000000001</v>
      </c>
      <c r="CZ30" t="n">
        <v>0.5602</v>
      </c>
      <c r="DA30" t="n">
        <v>0.5737</v>
      </c>
      <c r="DB30" t="n">
        <v>0.5673</v>
      </c>
      <c r="DC30" t="n">
        <v>0.5628</v>
      </c>
      <c r="DD30" t="n">
        <v>0.6218</v>
      </c>
      <c r="DE30" t="n">
        <v>0.6642</v>
      </c>
      <c r="DF30" t="n">
        <v>0.6639</v>
      </c>
      <c r="DG30" t="n">
        <v>0.6532</v>
      </c>
      <c r="DH30" t="n">
        <v>0.5643</v>
      </c>
      <c r="DI30" t="n">
        <v>0.6222</v>
      </c>
      <c r="DJ30" t="n">
        <v>0.5754</v>
      </c>
      <c r="DK30" t="n">
        <v>0.6597</v>
      </c>
      <c r="DL30" t="n">
        <v>0.6806</v>
      </c>
      <c r="DM30" t="n">
        <v>0.6407</v>
      </c>
      <c r="DN30" t="n">
        <v>0.7</v>
      </c>
      <c r="DO30" t="n">
        <v>0.7468</v>
      </c>
      <c r="DP30" t="n">
        <v>0.6687</v>
      </c>
      <c r="DQ30" t="n">
        <v>0.6726</v>
      </c>
      <c r="DR30" t="n">
        <v>0.6351</v>
      </c>
      <c r="DS30" t="n">
        <v>0.647</v>
      </c>
      <c r="DT30" t="n">
        <v>0.7087</v>
      </c>
      <c r="DU30" t="n">
        <v>0.6870000000000001</v>
      </c>
      <c r="DV30" t="n">
        <v>0.7248</v>
      </c>
      <c r="DW30" t="n">
        <v>0.6971000000000001</v>
      </c>
      <c r="DX30" t="n">
        <v>0.6965</v>
      </c>
      <c r="DY30" t="n">
        <v>0.7632</v>
      </c>
      <c r="DZ30" t="n">
        <v>1.0105</v>
      </c>
      <c r="EA30" t="n">
        <v>1.2043</v>
      </c>
      <c r="EC30" t="n">
        <v>0.493</v>
      </c>
      <c r="EE30" t="n">
        <v>0.052</v>
      </c>
      <c r="EO30" t="n">
        <v>0.0912</v>
      </c>
      <c r="EQ30" t="n">
        <v>45</v>
      </c>
    </row>
    <row r="31">
      <c r="BH31" t="n">
        <v>120000</v>
      </c>
      <c r="BI31" t="n">
        <v>0.429</v>
      </c>
      <c r="BJ31" t="n">
        <v>0.4206</v>
      </c>
      <c r="BK31" t="n">
        <v>0.4186</v>
      </c>
      <c r="BL31" t="n">
        <v>0.4178</v>
      </c>
      <c r="BM31" t="n">
        <v>0.4398</v>
      </c>
      <c r="BN31" t="n">
        <v>0.4195</v>
      </c>
      <c r="BO31" t="n">
        <v>0.4744</v>
      </c>
      <c r="BP31" t="n">
        <v>0.7075</v>
      </c>
      <c r="BQ31" t="n">
        <v>0.4911</v>
      </c>
      <c r="BR31" t="n">
        <v>0.4401</v>
      </c>
      <c r="BS31" t="n">
        <v>0.5208</v>
      </c>
      <c r="BT31" t="n">
        <v>0.4271</v>
      </c>
      <c r="BU31" t="n">
        <v>0.4566</v>
      </c>
      <c r="BV31" t="n">
        <v>0.4743</v>
      </c>
      <c r="BW31" t="n">
        <v>0.497</v>
      </c>
      <c r="BX31" t="n">
        <v>0.5276</v>
      </c>
      <c r="BY31" t="n">
        <v>0.4941</v>
      </c>
      <c r="BZ31" t="n">
        <v>0.4651</v>
      </c>
      <c r="CA31" t="n">
        <v>0.6042</v>
      </c>
      <c r="CB31" t="n">
        <v>0.5329</v>
      </c>
      <c r="CC31" t="n">
        <v>0.6022999999999999</v>
      </c>
      <c r="CD31" t="n">
        <v>0.5427</v>
      </c>
      <c r="CE31" t="n">
        <v>0.5124</v>
      </c>
      <c r="CF31" t="n">
        <v>0.5276</v>
      </c>
      <c r="CG31" t="n">
        <v>0.537</v>
      </c>
      <c r="CH31" t="n">
        <v>0.5634</v>
      </c>
      <c r="CI31" t="n">
        <v>0.5047</v>
      </c>
      <c r="CJ31" t="n">
        <v>0.5162</v>
      </c>
      <c r="CK31" t="n">
        <v>0.5397</v>
      </c>
      <c r="CL31" t="n">
        <v>0.5818</v>
      </c>
      <c r="CM31" t="n">
        <v>0.5333</v>
      </c>
      <c r="CN31" t="n">
        <v>0.5227000000000001</v>
      </c>
      <c r="CO31" t="n">
        <v>0.655</v>
      </c>
      <c r="CP31" t="n">
        <v>0.6169</v>
      </c>
      <c r="CQ31" t="n">
        <v>0.5669999999999999</v>
      </c>
      <c r="CR31" t="n">
        <v>0.6037</v>
      </c>
      <c r="CS31" t="n">
        <v>0.6374</v>
      </c>
      <c r="CT31" t="n">
        <v>0.6959</v>
      </c>
      <c r="CU31" t="n">
        <v>0.5793</v>
      </c>
      <c r="CV31" t="n">
        <v>0.5988</v>
      </c>
      <c r="CW31" t="n">
        <v>0.5856</v>
      </c>
      <c r="CX31" t="n">
        <v>0.5421</v>
      </c>
      <c r="CY31" t="n">
        <v>0.6969</v>
      </c>
      <c r="CZ31" t="n">
        <v>0.5813</v>
      </c>
      <c r="DA31" t="n">
        <v>0.5778</v>
      </c>
      <c r="DB31" t="n">
        <v>0.5957</v>
      </c>
      <c r="DC31" t="n">
        <v>0.5889</v>
      </c>
      <c r="DD31" t="n">
        <v>0.665</v>
      </c>
      <c r="DE31" t="n">
        <v>0.724</v>
      </c>
      <c r="DF31" t="n">
        <v>0.7045</v>
      </c>
      <c r="DG31" t="n">
        <v>0.6933</v>
      </c>
      <c r="DH31" t="n">
        <v>0.5939</v>
      </c>
      <c r="DI31" t="n">
        <v>0.7039</v>
      </c>
      <c r="DJ31" t="n">
        <v>0.5951</v>
      </c>
      <c r="DK31" t="n">
        <v>0.6925</v>
      </c>
      <c r="DL31" t="n">
        <v>0.7391</v>
      </c>
      <c r="DM31" t="n">
        <v>0.6704</v>
      </c>
      <c r="DN31" t="n">
        <v>0.7383999999999999</v>
      </c>
      <c r="DO31" t="n">
        <v>0.8536</v>
      </c>
      <c r="DP31" t="n">
        <v>0.712</v>
      </c>
      <c r="DQ31" t="n">
        <v>0.7171999999999999</v>
      </c>
      <c r="DR31" t="n">
        <v>0.6793</v>
      </c>
      <c r="DS31" t="n">
        <v>0.6606</v>
      </c>
      <c r="DT31" t="n">
        <v>0.7503</v>
      </c>
      <c r="DU31" t="n">
        <v>0.7154</v>
      </c>
      <c r="DV31" t="n">
        <v>0.7771</v>
      </c>
      <c r="DW31" t="n">
        <v>0.7685</v>
      </c>
      <c r="DX31" t="n">
        <v>0.7242</v>
      </c>
      <c r="DY31" t="n">
        <v>0.846</v>
      </c>
      <c r="DZ31" t="n">
        <v>1.0714</v>
      </c>
      <c r="EA31" t="n">
        <v>1.2597</v>
      </c>
      <c r="EC31" t="n">
        <v>0.494</v>
      </c>
      <c r="EE31" t="n">
        <v>0.04</v>
      </c>
      <c r="EO31" t="n">
        <v>0.0921</v>
      </c>
      <c r="EQ31" t="n">
        <v>59</v>
      </c>
    </row>
    <row r="32">
      <c r="BH32" t="n">
        <v>140000</v>
      </c>
      <c r="BI32" t="n">
        <v>0.4695</v>
      </c>
      <c r="BJ32" t="n">
        <v>0.4487</v>
      </c>
      <c r="BK32" t="n">
        <v>0.4307</v>
      </c>
      <c r="BL32" t="n">
        <v>0.4408</v>
      </c>
      <c r="BM32" t="n">
        <v>0.4655</v>
      </c>
      <c r="BN32" t="n">
        <v>0.4421</v>
      </c>
      <c r="BO32" t="n">
        <v>0.4914</v>
      </c>
      <c r="BQ32" t="n">
        <v>0.4842</v>
      </c>
      <c r="BR32" t="n">
        <v>0.4731</v>
      </c>
      <c r="BS32" t="n">
        <v>0.5501</v>
      </c>
      <c r="BT32" t="n">
        <v>0.4599</v>
      </c>
      <c r="BU32" t="n">
        <v>0.4795</v>
      </c>
      <c r="BV32" t="n">
        <v>0.4957</v>
      </c>
      <c r="BW32" t="n">
        <v>0.5254</v>
      </c>
      <c r="BX32" t="n">
        <v>0.5648</v>
      </c>
      <c r="BY32" t="n">
        <v>0.5814</v>
      </c>
      <c r="BZ32" t="n">
        <v>0.5389</v>
      </c>
      <c r="CA32" t="n">
        <v>0.6549</v>
      </c>
      <c r="CB32" t="n">
        <v>0.5602</v>
      </c>
      <c r="CC32" t="n">
        <v>0.6546</v>
      </c>
      <c r="CD32" t="n">
        <v>0.5702</v>
      </c>
      <c r="CE32" t="n">
        <v>0.5349</v>
      </c>
      <c r="CF32" t="n">
        <v>0.5645</v>
      </c>
      <c r="CG32" t="n">
        <v>0.5548999999999999</v>
      </c>
      <c r="CH32" t="n">
        <v>0.597</v>
      </c>
      <c r="CI32" t="n">
        <v>0.5377999999999999</v>
      </c>
      <c r="CJ32" t="n">
        <v>0.5568</v>
      </c>
      <c r="CK32" t="n">
        <v>0.6259</v>
      </c>
      <c r="CL32" t="n">
        <v>0.6734</v>
      </c>
      <c r="CM32" t="n">
        <v>0.592</v>
      </c>
      <c r="CN32" t="n">
        <v>0.5344</v>
      </c>
      <c r="CO32" t="n">
        <v>0.7084</v>
      </c>
      <c r="CP32" t="n">
        <v>0.6521</v>
      </c>
      <c r="CQ32" t="n">
        <v>0.5729</v>
      </c>
      <c r="CR32" t="n">
        <v>0.6405999999999999</v>
      </c>
      <c r="CS32" t="n">
        <v>0.6838</v>
      </c>
      <c r="CU32" t="n">
        <v>0.6495</v>
      </c>
      <c r="CV32" t="n">
        <v>0.6109</v>
      </c>
      <c r="CW32" t="n">
        <v>0.613</v>
      </c>
      <c r="CX32" t="n">
        <v>0.5862000000000001</v>
      </c>
      <c r="CY32" t="n">
        <v>0.7304</v>
      </c>
      <c r="CZ32" t="n">
        <v>0.6022</v>
      </c>
      <c r="DA32" t="n">
        <v>0.6055</v>
      </c>
      <c r="DB32" t="n">
        <v>0.6243</v>
      </c>
      <c r="DC32" t="n">
        <v>0.616</v>
      </c>
      <c r="DD32" t="n">
        <v>0.7618</v>
      </c>
      <c r="DE32" t="n">
        <v>0.8224</v>
      </c>
      <c r="DF32" t="n">
        <v>0.744</v>
      </c>
      <c r="DG32" t="n">
        <v>0.7313</v>
      </c>
      <c r="DH32" t="n">
        <v>0.6114000000000001</v>
      </c>
      <c r="DI32" t="n">
        <v>0.7121</v>
      </c>
      <c r="DJ32" t="n">
        <v>0.6159</v>
      </c>
      <c r="DK32" t="n">
        <v>0.7311</v>
      </c>
      <c r="DL32" t="n">
        <v>0.7909</v>
      </c>
      <c r="DM32" t="n">
        <v>0.7261</v>
      </c>
      <c r="DN32" t="n">
        <v>0.782</v>
      </c>
      <c r="DO32" t="n">
        <v>1.0045</v>
      </c>
      <c r="DP32" t="n">
        <v>0.7523</v>
      </c>
      <c r="DQ32" t="n">
        <v>0.7875</v>
      </c>
      <c r="DR32" t="n">
        <v>0.7147</v>
      </c>
      <c r="DS32" t="n">
        <v>0.6937</v>
      </c>
      <c r="DT32" t="n">
        <v>0.7907</v>
      </c>
      <c r="DU32" t="n">
        <v>0.7752</v>
      </c>
      <c r="DV32" t="n">
        <v>0.8572</v>
      </c>
      <c r="DW32" t="n">
        <v>0.8277</v>
      </c>
      <c r="DX32" t="n">
        <v>0.7858000000000001</v>
      </c>
      <c r="DY32" t="n">
        <v>0.9613</v>
      </c>
      <c r="DZ32" t="n">
        <v>1.114</v>
      </c>
      <c r="EA32" t="n">
        <v>1.2991</v>
      </c>
      <c r="EC32" t="n">
        <v>0.5</v>
      </c>
      <c r="EE32" t="n">
        <v>0.033</v>
      </c>
      <c r="EO32" t="n">
        <v>0.0941</v>
      </c>
      <c r="EQ32" t="n">
        <v>76</v>
      </c>
    </row>
    <row r="33">
      <c r="BH33" t="n">
        <v>160000</v>
      </c>
      <c r="BI33" t="n">
        <v>0.5318000000000001</v>
      </c>
      <c r="BJ33" t="n">
        <v>0.4827</v>
      </c>
      <c r="BK33" t="n">
        <v>0.4549</v>
      </c>
      <c r="BL33" t="n">
        <v>0.466</v>
      </c>
      <c r="BM33" t="n">
        <v>0.5057</v>
      </c>
      <c r="BN33" t="n">
        <v>0.4589</v>
      </c>
      <c r="BO33" t="n">
        <v>0.5148</v>
      </c>
      <c r="BQ33" t="n">
        <v>0.5046</v>
      </c>
      <c r="BR33" t="n">
        <v>0.492</v>
      </c>
      <c r="BS33" t="n">
        <v>0.5621</v>
      </c>
      <c r="BT33" t="n">
        <v>0.4815</v>
      </c>
      <c r="BU33" t="n">
        <v>0.5134</v>
      </c>
      <c r="BV33" t="n">
        <v>0.5139</v>
      </c>
      <c r="BW33" t="n">
        <v>0.5608</v>
      </c>
      <c r="BX33" t="n">
        <v>0.6147</v>
      </c>
      <c r="BY33" t="n">
        <v>0.5969</v>
      </c>
      <c r="BZ33" t="n">
        <v>0.5717</v>
      </c>
      <c r="CB33" t="n">
        <v>0.5432</v>
      </c>
      <c r="CC33" t="n">
        <v>0.7397</v>
      </c>
      <c r="CD33" t="n">
        <v>0.5983000000000001</v>
      </c>
      <c r="CE33" t="n">
        <v>0.6274999999999999</v>
      </c>
      <c r="CF33" t="n">
        <v>0.5883</v>
      </c>
      <c r="CG33" t="n">
        <v>0.6526999999999999</v>
      </c>
      <c r="CH33" t="n">
        <v>0.6562</v>
      </c>
      <c r="CI33" t="n">
        <v>0.5878</v>
      </c>
      <c r="CJ33" t="n">
        <v>0.5551</v>
      </c>
      <c r="CK33" t="n">
        <v>0.665</v>
      </c>
      <c r="CL33" t="n">
        <v>0.7168</v>
      </c>
      <c r="CM33" t="n">
        <v>0.6702</v>
      </c>
      <c r="CN33" t="n">
        <v>0.5504</v>
      </c>
      <c r="CP33" t="n">
        <v>0.7064</v>
      </c>
      <c r="CQ33" t="n">
        <v>0.6072</v>
      </c>
      <c r="CR33" t="n">
        <v>0.7189</v>
      </c>
      <c r="CS33" t="n">
        <v>0.7327</v>
      </c>
      <c r="CU33" t="n">
        <v>0.6929999999999999</v>
      </c>
      <c r="CV33" t="n">
        <v>0.652</v>
      </c>
      <c r="CX33" t="n">
        <v>0.5874</v>
      </c>
      <c r="CZ33" t="n">
        <v>0.6235000000000001</v>
      </c>
      <c r="DA33" t="n">
        <v>0.6712</v>
      </c>
      <c r="DB33" t="n">
        <v>0.7313</v>
      </c>
      <c r="DC33" t="n">
        <v>0.7256</v>
      </c>
      <c r="DD33" t="n">
        <v>0.9564</v>
      </c>
      <c r="DE33" t="n">
        <v>1.1553</v>
      </c>
      <c r="DF33" t="n">
        <v>0.7985</v>
      </c>
      <c r="DG33" t="n">
        <v>0.7769</v>
      </c>
      <c r="DH33" t="n">
        <v>0.6339</v>
      </c>
      <c r="DI33" t="n">
        <v>0.7737000000000001</v>
      </c>
      <c r="DJ33" t="n">
        <v>0.6389</v>
      </c>
      <c r="DK33" t="n">
        <v>0.8102</v>
      </c>
      <c r="DL33" t="n">
        <v>0.8564000000000001</v>
      </c>
      <c r="DM33" t="n">
        <v>0.7752</v>
      </c>
      <c r="DN33" t="n">
        <v>0.8671</v>
      </c>
      <c r="DO33" t="n">
        <v>1.2743</v>
      </c>
      <c r="DP33" t="n">
        <v>0.8070000000000001</v>
      </c>
      <c r="DQ33" t="n">
        <v>0.9487</v>
      </c>
      <c r="DR33" t="n">
        <v>0.7673</v>
      </c>
      <c r="DS33" t="n">
        <v>0.7397</v>
      </c>
      <c r="DT33" t="n">
        <v>0.8403</v>
      </c>
      <c r="DU33" t="n">
        <v>0.8124</v>
      </c>
      <c r="DV33" t="n">
        <v>1.0572</v>
      </c>
      <c r="DW33" t="n">
        <v>0.9729</v>
      </c>
      <c r="DX33" t="n">
        <v>0.8222</v>
      </c>
      <c r="DY33" t="n">
        <v>1.0271</v>
      </c>
      <c r="DZ33" t="n">
        <v>1.1636</v>
      </c>
      <c r="EA33" t="n">
        <v>1.363</v>
      </c>
      <c r="EC33" t="n">
        <v>0.504</v>
      </c>
      <c r="EE33" t="n">
        <v>0.047</v>
      </c>
      <c r="EO33" t="n">
        <v>0.09429999999999999</v>
      </c>
      <c r="EQ33" t="n">
        <v>76</v>
      </c>
    </row>
    <row r="34">
      <c r="EC34" t="n">
        <v>0.505</v>
      </c>
      <c r="EE34" t="n">
        <v>0.046</v>
      </c>
      <c r="EO34" t="n">
        <v>0.09619999999999999</v>
      </c>
      <c r="EQ34" t="n">
        <v>40</v>
      </c>
    </row>
    <row r="35">
      <c r="EC35" t="n">
        <v>0.506</v>
      </c>
      <c r="EE35" t="n">
        <v>0.046</v>
      </c>
      <c r="EO35" t="n">
        <v>0.09719999999999999</v>
      </c>
      <c r="EQ35" t="n">
        <v>74</v>
      </c>
    </row>
    <row r="36">
      <c r="BH36" t="inlineStr">
        <is>
          <t>x</t>
        </is>
      </c>
      <c r="BI36" t="inlineStr">
        <is>
          <t>Chevy Bolt EV</t>
        </is>
      </c>
      <c r="BJ36" t="inlineStr">
        <is>
          <t>Chevy Volt</t>
        </is>
      </c>
      <c r="BK36" t="inlineStr">
        <is>
          <t>Toyota Prius (hybrid)</t>
        </is>
      </c>
      <c r="BL36" t="inlineStr">
        <is>
          <t>Toyota Prius Prime</t>
        </is>
      </c>
      <c r="BM36" t="inlineStr">
        <is>
          <t>Toyota Corolla</t>
        </is>
      </c>
      <c r="BN36" t="inlineStr">
        <is>
          <t>Toyota Camry Hybrid</t>
        </is>
      </c>
      <c r="BO36" t="inlineStr">
        <is>
          <t>Honda Civic</t>
        </is>
      </c>
      <c r="BP36" t="inlineStr">
        <is>
          <t>Nissan Leaf</t>
        </is>
      </c>
      <c r="BQ36" t="inlineStr">
        <is>
          <t>Hyundai Elantra</t>
        </is>
      </c>
      <c r="BR36" t="inlineStr">
        <is>
          <t>Honda Accord</t>
        </is>
      </c>
      <c r="BS36" t="inlineStr">
        <is>
          <t>Kia K4</t>
        </is>
      </c>
      <c r="BT36" t="inlineStr">
        <is>
          <t>Mazda3 (SkyActiv)</t>
        </is>
      </c>
      <c r="BU36" t="inlineStr">
        <is>
          <t>Toyota Camry</t>
        </is>
      </c>
      <c r="BV36" t="inlineStr">
        <is>
          <t>Toyota RAV4 Hybrid</t>
        </is>
      </c>
      <c r="BW36" t="inlineStr">
        <is>
          <t>Kia Niro (hybrid)</t>
        </is>
      </c>
      <c r="BX36" t="inlineStr">
        <is>
          <t>Tesla Model 3</t>
        </is>
      </c>
      <c r="BY36" t="inlineStr">
        <is>
          <t>Hyundai Sonata</t>
        </is>
      </c>
      <c r="BZ36" t="inlineStr">
        <is>
          <t>Toyota RAV4</t>
        </is>
      </c>
      <c r="CA36" t="inlineStr">
        <is>
          <t>Fiat 500</t>
        </is>
      </c>
      <c r="CB36" t="inlineStr">
        <is>
          <t>Honda CR-V</t>
        </is>
      </c>
      <c r="CC36" t="inlineStr">
        <is>
          <t>VW ID.4 (AWD avail)</t>
        </is>
      </c>
      <c r="CD36" t="inlineStr">
        <is>
          <t>Toyota RAV4 Prime</t>
        </is>
      </c>
      <c r="CE36" t="inlineStr">
        <is>
          <t>Kia Soul</t>
        </is>
      </c>
      <c r="CF36" t="inlineStr">
        <is>
          <t>VW Passat</t>
        </is>
      </c>
      <c r="CG36" t="inlineStr">
        <is>
          <t>Buick Encore</t>
        </is>
      </c>
      <c r="CH36" t="inlineStr">
        <is>
          <t>Hyundai Kona</t>
        </is>
      </c>
      <c r="CI36" t="inlineStr">
        <is>
          <t>Mazda CX-5</t>
        </is>
      </c>
      <c r="CJ36" t="inlineStr">
        <is>
          <t>Toyota Highlander Hybrid</t>
        </is>
      </c>
      <c r="CK36" t="inlineStr">
        <is>
          <t>Subaru Outback</t>
        </is>
      </c>
      <c r="CL36" t="inlineStr">
        <is>
          <t>Subaru Forester</t>
        </is>
      </c>
      <c r="CM36" t="inlineStr">
        <is>
          <t>Toyota Sienna Hybrid</t>
        </is>
      </c>
      <c r="CN36" t="inlineStr">
        <is>
          <t>Toyota Tacoma</t>
        </is>
      </c>
      <c r="CO36" t="inlineStr">
        <is>
          <t>Nissan Rogue</t>
        </is>
      </c>
      <c r="CP36" t="inlineStr">
        <is>
          <t>Chevy Equinox</t>
        </is>
      </c>
      <c r="CQ36" t="inlineStr">
        <is>
          <t>Toyota Sienna (V6)</t>
        </is>
      </c>
      <c r="CR36" t="inlineStr">
        <is>
          <t>Mini Cooper</t>
        </is>
      </c>
      <c r="CS36" t="inlineStr">
        <is>
          <t>Ford Ranger (old compact)</t>
        </is>
      </c>
      <c r="CT36" t="inlineStr">
        <is>
          <t>Fiat 500X</t>
        </is>
      </c>
      <c r="CU36" t="inlineStr">
        <is>
          <t>VW GTI</t>
        </is>
      </c>
      <c r="CV36" t="inlineStr">
        <is>
          <t>Kia Sportage</t>
        </is>
      </c>
      <c r="CW36" t="inlineStr">
        <is>
          <t>Ford Escape</t>
        </is>
      </c>
      <c r="CX36" t="inlineStr">
        <is>
          <t>Toyota Highlander</t>
        </is>
      </c>
      <c r="CY36" t="inlineStr">
        <is>
          <t>Hyundai Tucson</t>
        </is>
      </c>
      <c r="CZ36" t="inlineStr">
        <is>
          <t>Toyota 4Runner</t>
        </is>
      </c>
      <c r="DA36" t="inlineStr">
        <is>
          <t>Honda Odyssey</t>
        </is>
      </c>
      <c r="DB36" t="inlineStr">
        <is>
          <t>Kia Sorento</t>
        </is>
      </c>
      <c r="DC36" t="inlineStr">
        <is>
          <t>Hyundai Santa Fe</t>
        </is>
      </c>
      <c r="DD36" t="inlineStr">
        <is>
          <t>VW Tiguan</t>
        </is>
      </c>
      <c r="DE36" t="inlineStr">
        <is>
          <t>Chrysler Pacifica PHEV</t>
        </is>
      </c>
      <c r="DF36" t="inlineStr">
        <is>
          <t>Subaru Ascent</t>
        </is>
      </c>
      <c r="DG36" t="inlineStr">
        <is>
          <t>Ford Ranger (2019+ midsize)</t>
        </is>
      </c>
      <c r="DH36" t="inlineStr">
        <is>
          <t>Honda Pilot</t>
        </is>
      </c>
      <c r="DI36" t="inlineStr">
        <is>
          <t>Mini Countryman</t>
        </is>
      </c>
      <c r="DJ36" t="inlineStr">
        <is>
          <t>Toyota Sequoia</t>
        </is>
      </c>
      <c r="DK36" t="inlineStr">
        <is>
          <t>Hyundai Palisade</t>
        </is>
      </c>
      <c r="DL36" t="inlineStr">
        <is>
          <t>Chrysler Pacifica</t>
        </is>
      </c>
      <c r="DM36" t="inlineStr">
        <is>
          <t>Chevy Colorado</t>
        </is>
      </c>
      <c r="DN36" t="inlineStr">
        <is>
          <t>Kia Telluride</t>
        </is>
      </c>
      <c r="DO36" t="inlineStr">
        <is>
          <t>Mazda CX-90</t>
        </is>
      </c>
      <c r="DP36" t="inlineStr">
        <is>
          <t>Chevy Traverse</t>
        </is>
      </c>
      <c r="DQ36" t="inlineStr">
        <is>
          <t>VW Atlas</t>
        </is>
      </c>
      <c r="DR36" t="inlineStr">
        <is>
          <t>Ford Explorer</t>
        </is>
      </c>
      <c r="DS36" t="inlineStr">
        <is>
          <t>Buick Enclave</t>
        </is>
      </c>
      <c r="DT36" t="inlineStr">
        <is>
          <t>Volvo XC60</t>
        </is>
      </c>
      <c r="DU36" t="inlineStr">
        <is>
          <t>Chevy Tahoe</t>
        </is>
      </c>
      <c r="DV36" t="inlineStr">
        <is>
          <t>Jeep Grand Cherokee L</t>
        </is>
      </c>
      <c r="DW36" t="inlineStr">
        <is>
          <t>Volvo V90 Cross Country</t>
        </is>
      </c>
      <c r="DX36" t="inlineStr">
        <is>
          <t>Chevy Suburban</t>
        </is>
      </c>
      <c r="DY36" t="inlineStr">
        <is>
          <t>Volvo XC90</t>
        </is>
      </c>
      <c r="DZ36" t="inlineStr">
        <is>
          <t>Porsche 996 Carrera</t>
        </is>
      </c>
      <c r="EA36" t="inlineStr">
        <is>
          <t>Porsche 996 Turbo</t>
        </is>
      </c>
      <c r="EC36" t="n">
        <v>0.512</v>
      </c>
      <c r="EE36" t="n">
        <v>0.043</v>
      </c>
      <c r="EO36" t="n">
        <v>0.09760000000000001</v>
      </c>
      <c r="EQ36" t="n">
        <v>64</v>
      </c>
    </row>
    <row r="37">
      <c r="BH37" t="n">
        <v>3</v>
      </c>
      <c r="BI37" t="n">
        <v>0.3241</v>
      </c>
      <c r="BJ37" t="n">
        <v>0.3317</v>
      </c>
      <c r="BK37" t="n">
        <v>0.323</v>
      </c>
      <c r="BL37" t="n">
        <v>0.3534</v>
      </c>
      <c r="BM37" t="n">
        <v>0.3197</v>
      </c>
      <c r="BN37" t="n">
        <v>0.3308</v>
      </c>
      <c r="BO37" t="n">
        <v>0.339</v>
      </c>
      <c r="BP37" t="n">
        <v>0.393</v>
      </c>
      <c r="BQ37" t="n">
        <v>0.3438</v>
      </c>
      <c r="BR37" t="n">
        <v>0.3361</v>
      </c>
      <c r="BS37" t="n">
        <v>0.3503</v>
      </c>
      <c r="BT37" t="n">
        <v>0.3402</v>
      </c>
      <c r="BU37" t="n">
        <v>0.3478</v>
      </c>
      <c r="BV37" t="n">
        <v>0.3613</v>
      </c>
      <c r="BW37" t="n">
        <v>0.3707</v>
      </c>
      <c r="BX37" t="n">
        <v>0.4196</v>
      </c>
      <c r="BY37" t="n">
        <v>0.3712</v>
      </c>
      <c r="BZ37" t="n">
        <v>0.3747</v>
      </c>
      <c r="CA37" t="n">
        <v>0.3869</v>
      </c>
      <c r="CB37" t="n">
        <v>0.3797</v>
      </c>
      <c r="CC37" t="n">
        <v>0.4427</v>
      </c>
      <c r="CD37" t="n">
        <v>0.4314</v>
      </c>
      <c r="CE37" t="n">
        <v>0.3809</v>
      </c>
      <c r="CF37" t="n">
        <v>0.3884</v>
      </c>
      <c r="CG37" t="n">
        <v>0.3899</v>
      </c>
      <c r="CH37" t="n">
        <v>0.3974</v>
      </c>
      <c r="CI37" t="n">
        <v>0.3968</v>
      </c>
      <c r="CJ37" t="n">
        <v>0.4267</v>
      </c>
      <c r="CK37" t="n">
        <v>0.4149</v>
      </c>
      <c r="CL37" t="n">
        <v>0.4157</v>
      </c>
      <c r="CM37" t="n">
        <v>0.4275</v>
      </c>
      <c r="CN37" t="n">
        <v>0.406</v>
      </c>
      <c r="CO37" t="n">
        <v>0.4274</v>
      </c>
      <c r="CP37" t="n">
        <v>0.425</v>
      </c>
      <c r="CQ37" t="n">
        <v>0.4112</v>
      </c>
      <c r="CR37" t="n">
        <v>0.4372</v>
      </c>
      <c r="CS37" t="n">
        <v>0.4209</v>
      </c>
      <c r="CT37" t="n">
        <v>0.4337</v>
      </c>
      <c r="CU37" t="n">
        <v>0.4431</v>
      </c>
      <c r="CV37" t="n">
        <v>0.437</v>
      </c>
      <c r="CW37" t="n">
        <v>0.4368</v>
      </c>
      <c r="CX37" t="n">
        <v>0.4418</v>
      </c>
      <c r="CY37" t="n">
        <v>0.451</v>
      </c>
      <c r="CZ37" t="n">
        <v>0.4381</v>
      </c>
      <c r="DA37" t="n">
        <v>0.4493</v>
      </c>
      <c r="DB37" t="n">
        <v>0.4534</v>
      </c>
      <c r="DC37" t="n">
        <v>0.4551</v>
      </c>
      <c r="DD37" t="n">
        <v>0.4577</v>
      </c>
      <c r="DE37" t="n">
        <v>0.5094</v>
      </c>
      <c r="DF37" t="n">
        <v>0.4655</v>
      </c>
      <c r="DG37" t="n">
        <v>0.4691</v>
      </c>
      <c r="DH37" t="n">
        <v>0.4638</v>
      </c>
      <c r="DI37" t="n">
        <v>0.486</v>
      </c>
      <c r="DJ37" t="n">
        <v>0.4597</v>
      </c>
      <c r="DK37" t="n">
        <v>0.4865</v>
      </c>
      <c r="DL37" t="n">
        <v>0.4864</v>
      </c>
      <c r="DM37" t="n">
        <v>0.4839</v>
      </c>
      <c r="DN37" t="n">
        <v>0.4945</v>
      </c>
      <c r="DO37" t="n">
        <v>0.5153</v>
      </c>
      <c r="DP37" t="n">
        <v>0.5011</v>
      </c>
      <c r="DQ37" t="n">
        <v>0.5072</v>
      </c>
      <c r="DR37" t="n">
        <v>0.509</v>
      </c>
      <c r="DS37" t="n">
        <v>0.5158</v>
      </c>
      <c r="DT37" t="n">
        <v>0.5471</v>
      </c>
      <c r="DU37" t="n">
        <v>0.5335</v>
      </c>
      <c r="DV37" t="n">
        <v>0.5427</v>
      </c>
      <c r="DW37" t="n">
        <v>0.5742</v>
      </c>
      <c r="DX37" t="n">
        <v>0.5458</v>
      </c>
      <c r="DY37" t="n">
        <v>0.6299</v>
      </c>
      <c r="DZ37" t="n">
        <v>0.781</v>
      </c>
      <c r="EA37" t="n">
        <v>0.9807</v>
      </c>
      <c r="EC37" t="n">
        <v>0.519</v>
      </c>
      <c r="EE37" t="n">
        <v>0.04</v>
      </c>
      <c r="EO37" t="n">
        <v>0.0989</v>
      </c>
      <c r="EQ37" t="n">
        <v>35</v>
      </c>
    </row>
    <row r="38">
      <c r="BH38" t="n">
        <v>4</v>
      </c>
      <c r="BI38" t="n">
        <v>0.3241</v>
      </c>
      <c r="BJ38" t="n">
        <v>0.3351</v>
      </c>
      <c r="BK38" t="n">
        <v>0.3351</v>
      </c>
      <c r="BL38" t="n">
        <v>0.3592</v>
      </c>
      <c r="BM38" t="n">
        <v>0.34</v>
      </c>
      <c r="BN38" t="n">
        <v>0.3466</v>
      </c>
      <c r="BO38" t="n">
        <v>0.3584</v>
      </c>
      <c r="BP38" t="n">
        <v>0.393</v>
      </c>
      <c r="BQ38" t="n">
        <v>0.3634</v>
      </c>
      <c r="BR38" t="n">
        <v>0.3575</v>
      </c>
      <c r="BS38" t="n">
        <v>0.3697</v>
      </c>
      <c r="BT38" t="n">
        <v>0.3635</v>
      </c>
      <c r="BU38" t="n">
        <v>0.3685</v>
      </c>
      <c r="BV38" t="n">
        <v>0.3766</v>
      </c>
      <c r="BW38" t="n">
        <v>0.3852</v>
      </c>
      <c r="BX38" t="n">
        <v>0.4196</v>
      </c>
      <c r="BY38" t="n">
        <v>0.3936</v>
      </c>
      <c r="BZ38" t="n">
        <v>0.3989</v>
      </c>
      <c r="CA38" t="n">
        <v>0.4094</v>
      </c>
      <c r="CB38" t="n">
        <v>0.4037</v>
      </c>
      <c r="CC38" t="n">
        <v>0.4427</v>
      </c>
      <c r="CD38" t="n">
        <v>0.4357</v>
      </c>
      <c r="CE38" t="n">
        <v>0.4063</v>
      </c>
      <c r="CF38" t="n">
        <v>0.4141</v>
      </c>
      <c r="CG38" t="n">
        <v>0.4161</v>
      </c>
      <c r="CH38" t="n">
        <v>0.4223</v>
      </c>
      <c r="CI38" t="n">
        <v>0.4235</v>
      </c>
      <c r="CJ38" t="n">
        <v>0.4453</v>
      </c>
      <c r="CK38" t="n">
        <v>0.4397</v>
      </c>
      <c r="CL38" t="n">
        <v>0.4399</v>
      </c>
      <c r="CM38" t="n">
        <v>0.4451</v>
      </c>
      <c r="CN38" t="n">
        <v>0.4361</v>
      </c>
      <c r="CO38" t="n">
        <v>0.4533</v>
      </c>
      <c r="CP38" t="n">
        <v>0.4525</v>
      </c>
      <c r="CQ38" t="n">
        <v>0.4454</v>
      </c>
      <c r="CR38" t="n">
        <v>0.4614</v>
      </c>
      <c r="CS38" t="n">
        <v>0.4533</v>
      </c>
      <c r="CT38" t="n">
        <v>0.463</v>
      </c>
      <c r="CU38" t="n">
        <v>0.4697</v>
      </c>
      <c r="CV38" t="n">
        <v>0.4663</v>
      </c>
      <c r="CW38" t="n">
        <v>0.4664</v>
      </c>
      <c r="CX38" t="n">
        <v>0.4714</v>
      </c>
      <c r="CY38" t="n">
        <v>0.481</v>
      </c>
      <c r="CZ38" t="n">
        <v>0.4724</v>
      </c>
      <c r="DA38" t="n">
        <v>0.4812</v>
      </c>
      <c r="DB38" t="n">
        <v>0.484</v>
      </c>
      <c r="DC38" t="n">
        <v>0.4856</v>
      </c>
      <c r="DD38" t="n">
        <v>0.4883</v>
      </c>
      <c r="DE38" t="n">
        <v>0.5234</v>
      </c>
      <c r="DF38" t="n">
        <v>0.4985</v>
      </c>
      <c r="DG38" t="n">
        <v>0.5024999999999999</v>
      </c>
      <c r="DH38" t="n">
        <v>0.4993</v>
      </c>
      <c r="DI38" t="n">
        <v>0.5145999999999999</v>
      </c>
      <c r="DJ38" t="n">
        <v>0.4994</v>
      </c>
      <c r="DK38" t="n">
        <v>0.5191</v>
      </c>
      <c r="DL38" t="n">
        <v>0.5218</v>
      </c>
      <c r="DM38" t="n">
        <v>0.5208</v>
      </c>
      <c r="DN38" t="n">
        <v>0.5272</v>
      </c>
      <c r="DO38" t="n">
        <v>0.543</v>
      </c>
      <c r="DP38" t="n">
        <v>0.5369</v>
      </c>
      <c r="DQ38" t="n">
        <v>0.5422</v>
      </c>
      <c r="DR38" t="n">
        <v>0.5448</v>
      </c>
      <c r="DS38" t="n">
        <v>0.5534</v>
      </c>
      <c r="DT38" t="n">
        <v>0.5783</v>
      </c>
      <c r="DU38" t="n">
        <v>0.5735</v>
      </c>
      <c r="DV38" t="n">
        <v>0.581</v>
      </c>
      <c r="DW38" t="n">
        <v>0.6029</v>
      </c>
      <c r="DX38" t="n">
        <v>0.5856</v>
      </c>
      <c r="DY38" t="n">
        <v>0.6633</v>
      </c>
      <c r="DZ38" t="n">
        <v>0.8250999999999999</v>
      </c>
      <c r="EA38" t="n">
        <v>1.03</v>
      </c>
      <c r="EC38" t="n">
        <v>0.521</v>
      </c>
      <c r="EE38" t="n">
        <v>0.037</v>
      </c>
      <c r="EO38" t="n">
        <v>0.1</v>
      </c>
      <c r="EQ38" t="n">
        <v>50</v>
      </c>
    </row>
    <row r="39">
      <c r="BH39" t="n">
        <v>5</v>
      </c>
      <c r="BI39" t="n">
        <v>0.3241</v>
      </c>
      <c r="BJ39" t="n">
        <v>0.3384</v>
      </c>
      <c r="BK39" t="n">
        <v>0.3473</v>
      </c>
      <c r="BL39" t="n">
        <v>0.3651</v>
      </c>
      <c r="BM39" t="n">
        <v>0.3603</v>
      </c>
      <c r="BN39" t="n">
        <v>0.3624</v>
      </c>
      <c r="BO39" t="n">
        <v>0.3778</v>
      </c>
      <c r="BP39" t="n">
        <v>0.393</v>
      </c>
      <c r="BQ39" t="n">
        <v>0.383</v>
      </c>
      <c r="BR39" t="n">
        <v>0.3789</v>
      </c>
      <c r="BS39" t="n">
        <v>0.3892</v>
      </c>
      <c r="BT39" t="n">
        <v>0.3869</v>
      </c>
      <c r="BU39" t="n">
        <v>0.3892</v>
      </c>
      <c r="BV39" t="n">
        <v>0.392</v>
      </c>
      <c r="BW39" t="n">
        <v>0.3997</v>
      </c>
      <c r="BX39" t="n">
        <v>0.4196</v>
      </c>
      <c r="BY39" t="n">
        <v>0.416</v>
      </c>
      <c r="BZ39" t="n">
        <v>0.4231</v>
      </c>
      <c r="CA39" t="n">
        <v>0.432</v>
      </c>
      <c r="CB39" t="n">
        <v>0.4276</v>
      </c>
      <c r="CC39" t="n">
        <v>0.4427</v>
      </c>
      <c r="CD39" t="n">
        <v>0.44</v>
      </c>
      <c r="CE39" t="n">
        <v>0.4316</v>
      </c>
      <c r="CF39" t="n">
        <v>0.4397</v>
      </c>
      <c r="CG39" t="n">
        <v>0.4423</v>
      </c>
      <c r="CH39" t="n">
        <v>0.4471</v>
      </c>
      <c r="CI39" t="n">
        <v>0.4503</v>
      </c>
      <c r="CJ39" t="n">
        <v>0.4638</v>
      </c>
      <c r="CK39" t="n">
        <v>0.4644</v>
      </c>
      <c r="CL39" t="n">
        <v>0.4641</v>
      </c>
      <c r="CM39" t="n">
        <v>0.4628</v>
      </c>
      <c r="CN39" t="n">
        <v>0.4662</v>
      </c>
      <c r="CO39" t="n">
        <v>0.4793</v>
      </c>
      <c r="CP39" t="n">
        <v>0.48</v>
      </c>
      <c r="CQ39" t="n">
        <v>0.4796</v>
      </c>
      <c r="CR39" t="n">
        <v>0.4856</v>
      </c>
      <c r="CS39" t="n">
        <v>0.4856</v>
      </c>
      <c r="CT39" t="n">
        <v>0.4923</v>
      </c>
      <c r="CU39" t="n">
        <v>0.4963</v>
      </c>
      <c r="CV39" t="n">
        <v>0.4956</v>
      </c>
      <c r="CW39" t="n">
        <v>0.496</v>
      </c>
      <c r="CX39" t="n">
        <v>0.5009</v>
      </c>
      <c r="CY39" t="n">
        <v>0.5111</v>
      </c>
      <c r="CZ39" t="n">
        <v>0.5067</v>
      </c>
      <c r="DA39" t="n">
        <v>0.5132</v>
      </c>
      <c r="DB39" t="n">
        <v>0.5145999999999999</v>
      </c>
      <c r="DC39" t="n">
        <v>0.5161</v>
      </c>
      <c r="DD39" t="n">
        <v>0.519</v>
      </c>
      <c r="DE39" t="n">
        <v>0.5373</v>
      </c>
      <c r="DF39" t="n">
        <v>0.5316</v>
      </c>
      <c r="DG39" t="n">
        <v>0.5359</v>
      </c>
      <c r="DH39" t="n">
        <v>0.5348000000000001</v>
      </c>
      <c r="DI39" t="n">
        <v>0.5432</v>
      </c>
      <c r="DJ39" t="n">
        <v>0.5391</v>
      </c>
      <c r="DK39" t="n">
        <v>0.5518</v>
      </c>
      <c r="DL39" t="n">
        <v>0.5571</v>
      </c>
      <c r="DM39" t="n">
        <v>0.5577</v>
      </c>
      <c r="DN39" t="n">
        <v>0.5599</v>
      </c>
      <c r="DO39" t="n">
        <v>0.5706</v>
      </c>
      <c r="DP39" t="n">
        <v>0.5728</v>
      </c>
      <c r="DQ39" t="n">
        <v>0.5772</v>
      </c>
      <c r="DR39" t="n">
        <v>0.5807</v>
      </c>
      <c r="DS39" t="n">
        <v>0.591</v>
      </c>
      <c r="DT39" t="n">
        <v>0.6095</v>
      </c>
      <c r="DU39" t="n">
        <v>0.6136</v>
      </c>
      <c r="DV39" t="n">
        <v>0.6193</v>
      </c>
      <c r="DW39" t="n">
        <v>0.6316000000000001</v>
      </c>
      <c r="DX39" t="n">
        <v>0.6253</v>
      </c>
      <c r="DY39" t="n">
        <v>0.6967</v>
      </c>
      <c r="DZ39" t="n">
        <v>0.8692</v>
      </c>
      <c r="EA39" t="n">
        <v>1.0793</v>
      </c>
      <c r="EC39" t="n">
        <v>0.522</v>
      </c>
      <c r="EE39" t="n">
        <v>0.046</v>
      </c>
      <c r="EO39" t="n">
        <v>0.1008</v>
      </c>
      <c r="EQ39" t="n">
        <v>53</v>
      </c>
    </row>
    <row r="40">
      <c r="BH40" t="n">
        <v>5.455</v>
      </c>
      <c r="BI40" t="n">
        <v>0.3241</v>
      </c>
      <c r="BJ40" t="n">
        <v>0.3399</v>
      </c>
      <c r="BK40" t="n">
        <v>0.3529</v>
      </c>
      <c r="BL40" t="n">
        <v>0.3677</v>
      </c>
      <c r="BM40" t="n">
        <v>0.3695</v>
      </c>
      <c r="BN40" t="n">
        <v>0.3696</v>
      </c>
      <c r="BO40" t="n">
        <v>0.3866</v>
      </c>
      <c r="BP40" t="n">
        <v>0.393</v>
      </c>
      <c r="BQ40" t="n">
        <v>0.3919</v>
      </c>
      <c r="BR40" t="n">
        <v>0.3886</v>
      </c>
      <c r="BS40" t="n">
        <v>0.398</v>
      </c>
      <c r="BT40" t="n">
        <v>0.3975</v>
      </c>
      <c r="BU40" t="n">
        <v>0.3987</v>
      </c>
      <c r="BV40" t="n">
        <v>0.399</v>
      </c>
      <c r="BW40" t="n">
        <v>0.4063</v>
      </c>
      <c r="BX40" t="n">
        <v>0.4196</v>
      </c>
      <c r="BY40" t="n">
        <v>0.4263</v>
      </c>
      <c r="BZ40" t="n">
        <v>0.4342</v>
      </c>
      <c r="CA40" t="n">
        <v>0.4422</v>
      </c>
      <c r="CB40" t="n">
        <v>0.4385</v>
      </c>
      <c r="CC40" t="n">
        <v>0.4427</v>
      </c>
      <c r="CD40" t="n">
        <v>0.4419</v>
      </c>
      <c r="CE40" t="n">
        <v>0.4432</v>
      </c>
      <c r="CF40" t="n">
        <v>0.4514</v>
      </c>
      <c r="CG40" t="n">
        <v>0.4542</v>
      </c>
      <c r="CH40" t="n">
        <v>0.4584</v>
      </c>
      <c r="CI40" t="n">
        <v>0.4624</v>
      </c>
      <c r="CJ40" t="n">
        <v>0.4723</v>
      </c>
      <c r="CK40" t="n">
        <v>0.4756</v>
      </c>
      <c r="CL40" t="n">
        <v>0.4751</v>
      </c>
      <c r="CM40" t="n">
        <v>0.4708</v>
      </c>
      <c r="CN40" t="n">
        <v>0.4799</v>
      </c>
      <c r="CO40" t="n">
        <v>0.4911</v>
      </c>
      <c r="CP40" t="n">
        <v>0.4926</v>
      </c>
      <c r="CQ40" t="n">
        <v>0.4952</v>
      </c>
      <c r="CR40" t="n">
        <v>0.4966</v>
      </c>
      <c r="CS40" t="n">
        <v>0.5003</v>
      </c>
      <c r="CT40" t="n">
        <v>0.5057</v>
      </c>
      <c r="CU40" t="n">
        <v>0.5084</v>
      </c>
      <c r="CV40" t="n">
        <v>0.509</v>
      </c>
      <c r="CW40" t="n">
        <v>0.5094</v>
      </c>
      <c r="CX40" t="n">
        <v>0.5143</v>
      </c>
      <c r="CY40" t="n">
        <v>0.5248</v>
      </c>
      <c r="CZ40" t="n">
        <v>0.5223</v>
      </c>
      <c r="DA40" t="n">
        <v>0.5276999999999999</v>
      </c>
      <c r="DB40" t="n">
        <v>0.5286</v>
      </c>
      <c r="DC40" t="n">
        <v>0.5299</v>
      </c>
      <c r="DD40" t="n">
        <v>0.5329</v>
      </c>
      <c r="DE40" t="n">
        <v>0.5437</v>
      </c>
      <c r="DF40" t="n">
        <v>0.5466</v>
      </c>
      <c r="DG40" t="n">
        <v>0.5511</v>
      </c>
      <c r="DH40" t="n">
        <v>0.551</v>
      </c>
      <c r="DI40" t="n">
        <v>0.5562</v>
      </c>
      <c r="DJ40" t="n">
        <v>0.5571</v>
      </c>
      <c r="DK40" t="n">
        <v>0.5667</v>
      </c>
      <c r="DL40" t="n">
        <v>0.5732</v>
      </c>
      <c r="DM40" t="n">
        <v>0.5745</v>
      </c>
      <c r="DN40" t="n">
        <v>0.5747</v>
      </c>
      <c r="DO40" t="n">
        <v>0.5832000000000001</v>
      </c>
      <c r="DP40" t="n">
        <v>0.5891</v>
      </c>
      <c r="DQ40" t="n">
        <v>0.5931</v>
      </c>
      <c r="DR40" t="n">
        <v>0.597</v>
      </c>
      <c r="DS40" t="n">
        <v>0.6081</v>
      </c>
      <c r="DT40" t="n">
        <v>0.6237</v>
      </c>
      <c r="DU40" t="n">
        <v>0.6318</v>
      </c>
      <c r="DV40" t="n">
        <v>0.6367</v>
      </c>
      <c r="DW40" t="n">
        <v>0.6447000000000001</v>
      </c>
      <c r="DX40" t="n">
        <v>0.6434</v>
      </c>
      <c r="DY40" t="n">
        <v>0.7119</v>
      </c>
      <c r="DZ40" t="n">
        <v>0.8893</v>
      </c>
      <c r="EA40" t="n">
        <v>1.1018</v>
      </c>
      <c r="EC40" t="n">
        <v>0.522</v>
      </c>
      <c r="EE40" t="n">
        <v>0.046</v>
      </c>
      <c r="EO40" t="n">
        <v>0.101</v>
      </c>
      <c r="EQ40" t="n">
        <v>60</v>
      </c>
    </row>
    <row r="41">
      <c r="BH41" t="n">
        <v>6</v>
      </c>
      <c r="BI41" t="n">
        <v>0.3241</v>
      </c>
      <c r="BJ41" t="n">
        <v>0.3418</v>
      </c>
      <c r="BK41" t="n">
        <v>0.3595</v>
      </c>
      <c r="BL41" t="n">
        <v>0.3709</v>
      </c>
      <c r="BM41" t="n">
        <v>0.3806</v>
      </c>
      <c r="BN41" t="n">
        <v>0.3782</v>
      </c>
      <c r="BO41" t="n">
        <v>0.3972</v>
      </c>
      <c r="BP41" t="n">
        <v>0.393</v>
      </c>
      <c r="BQ41" t="n">
        <v>0.4026</v>
      </c>
      <c r="BR41" t="n">
        <v>0.4002</v>
      </c>
      <c r="BS41" t="n">
        <v>0.4086</v>
      </c>
      <c r="BT41" t="n">
        <v>0.4103</v>
      </c>
      <c r="BU41" t="n">
        <v>0.4099</v>
      </c>
      <c r="BV41" t="n">
        <v>0.4074</v>
      </c>
      <c r="BW41" t="n">
        <v>0.4141</v>
      </c>
      <c r="BX41" t="n">
        <v>0.4196</v>
      </c>
      <c r="BY41" t="n">
        <v>0.4385</v>
      </c>
      <c r="BZ41" t="n">
        <v>0.4473</v>
      </c>
      <c r="CA41" t="n">
        <v>0.4545</v>
      </c>
      <c r="CB41" t="n">
        <v>0.4515</v>
      </c>
      <c r="CC41" t="n">
        <v>0.4427</v>
      </c>
      <c r="CD41" t="n">
        <v>0.4442</v>
      </c>
      <c r="CE41" t="n">
        <v>0.457</v>
      </c>
      <c r="CF41" t="n">
        <v>0.4654</v>
      </c>
      <c r="CG41" t="n">
        <v>0.4685</v>
      </c>
      <c r="CH41" t="n">
        <v>0.4719</v>
      </c>
      <c r="CI41" t="n">
        <v>0.477</v>
      </c>
      <c r="CJ41" t="n">
        <v>0.4824</v>
      </c>
      <c r="CK41" t="n">
        <v>0.4891</v>
      </c>
      <c r="CL41" t="n">
        <v>0.4883</v>
      </c>
      <c r="CM41" t="n">
        <v>0.4805</v>
      </c>
      <c r="CN41" t="n">
        <v>0.4963</v>
      </c>
      <c r="CO41" t="n">
        <v>0.5052</v>
      </c>
      <c r="CP41" t="n">
        <v>0.5076000000000001</v>
      </c>
      <c r="CQ41" t="n">
        <v>0.5138</v>
      </c>
      <c r="CR41" t="n">
        <v>0.5098</v>
      </c>
      <c r="CS41" t="n">
        <v>0.518</v>
      </c>
      <c r="CT41" t="n">
        <v>0.5216</v>
      </c>
      <c r="CU41" t="n">
        <v>0.5229</v>
      </c>
      <c r="CV41" t="n">
        <v>0.5249</v>
      </c>
      <c r="CW41" t="n">
        <v>0.5256</v>
      </c>
      <c r="CX41" t="n">
        <v>0.5304</v>
      </c>
      <c r="CY41" t="n">
        <v>0.5412</v>
      </c>
      <c r="CZ41" t="n">
        <v>0.541</v>
      </c>
      <c r="DA41" t="n">
        <v>0.5451</v>
      </c>
      <c r="DB41" t="n">
        <v>0.5453</v>
      </c>
      <c r="DC41" t="n">
        <v>0.5465</v>
      </c>
      <c r="DD41" t="n">
        <v>0.5496</v>
      </c>
      <c r="DE41" t="n">
        <v>0.5513</v>
      </c>
      <c r="DF41" t="n">
        <v>0.5647</v>
      </c>
      <c r="DG41" t="n">
        <v>0.5693</v>
      </c>
      <c r="DH41" t="n">
        <v>0.5703</v>
      </c>
      <c r="DI41" t="n">
        <v>0.5717</v>
      </c>
      <c r="DJ41" t="n">
        <v>0.5787</v>
      </c>
      <c r="DK41" t="n">
        <v>0.5845</v>
      </c>
      <c r="DL41" t="n">
        <v>0.5925</v>
      </c>
      <c r="DM41" t="n">
        <v>0.5946</v>
      </c>
      <c r="DN41" t="n">
        <v>0.5925</v>
      </c>
      <c r="DO41" t="n">
        <v>0.5982</v>
      </c>
      <c r="DP41" t="n">
        <v>0.6087</v>
      </c>
      <c r="DQ41" t="n">
        <v>0.6122</v>
      </c>
      <c r="DR41" t="n">
        <v>0.6166</v>
      </c>
      <c r="DS41" t="n">
        <v>0.6286</v>
      </c>
      <c r="DT41" t="n">
        <v>0.6407</v>
      </c>
      <c r="DU41" t="n">
        <v>0.6536999999999999</v>
      </c>
      <c r="DV41" t="n">
        <v>0.6575</v>
      </c>
      <c r="DW41" t="n">
        <v>0.6603</v>
      </c>
      <c r="DX41" t="n">
        <v>0.665</v>
      </c>
      <c r="DY41" t="n">
        <v>0.7301</v>
      </c>
      <c r="DZ41" t="n">
        <v>0.9133</v>
      </c>
      <c r="EA41" t="n">
        <v>1.1286</v>
      </c>
      <c r="EC41" t="n">
        <v>0.524</v>
      </c>
      <c r="EE41" t="n">
        <v>0.052</v>
      </c>
      <c r="EO41" t="n">
        <v>0.1012</v>
      </c>
      <c r="EQ41" t="n">
        <v>65</v>
      </c>
    </row>
    <row r="42">
      <c r="BH42" t="n">
        <v>7</v>
      </c>
      <c r="BI42" t="n">
        <v>0.3241</v>
      </c>
      <c r="BJ42" t="n">
        <v>0.3451</v>
      </c>
      <c r="BK42" t="n">
        <v>0.3717</v>
      </c>
      <c r="BL42" t="n">
        <v>0.3768</v>
      </c>
      <c r="BM42" t="n">
        <v>0.4008</v>
      </c>
      <c r="BN42" t="n">
        <v>0.394</v>
      </c>
      <c r="BO42" t="n">
        <v>0.4166</v>
      </c>
      <c r="BP42" t="n">
        <v>0.393</v>
      </c>
      <c r="BQ42" t="n">
        <v>0.4222</v>
      </c>
      <c r="BR42" t="n">
        <v>0.4216</v>
      </c>
      <c r="BS42" t="n">
        <v>0.4281</v>
      </c>
      <c r="BT42" t="n">
        <v>0.4336</v>
      </c>
      <c r="BU42" t="n">
        <v>0.4307</v>
      </c>
      <c r="BV42" t="n">
        <v>0.4228</v>
      </c>
      <c r="BW42" t="n">
        <v>0.4286</v>
      </c>
      <c r="BX42" t="n">
        <v>0.4196</v>
      </c>
      <c r="BY42" t="n">
        <v>0.4609</v>
      </c>
      <c r="BZ42" t="n">
        <v>0.4715</v>
      </c>
      <c r="CA42" t="n">
        <v>0.477</v>
      </c>
      <c r="CB42" t="n">
        <v>0.4755</v>
      </c>
      <c r="CC42" t="n">
        <v>0.4427</v>
      </c>
      <c r="CD42" t="n">
        <v>0.4485</v>
      </c>
      <c r="CE42" t="n">
        <v>0.4824</v>
      </c>
      <c r="CF42" t="n">
        <v>0.4911</v>
      </c>
      <c r="CG42" t="n">
        <v>0.4948</v>
      </c>
      <c r="CH42" t="n">
        <v>0.4967</v>
      </c>
      <c r="CI42" t="n">
        <v>0.5037</v>
      </c>
      <c r="CJ42" t="n">
        <v>0.501</v>
      </c>
      <c r="CK42" t="n">
        <v>0.5139</v>
      </c>
      <c r="CL42" t="n">
        <v>0.5125</v>
      </c>
      <c r="CM42" t="n">
        <v>0.4981</v>
      </c>
      <c r="CN42" t="n">
        <v>0.5264</v>
      </c>
      <c r="CO42" t="n">
        <v>0.5311</v>
      </c>
      <c r="CP42" t="n">
        <v>0.5351</v>
      </c>
      <c r="CQ42" t="n">
        <v>0.548</v>
      </c>
      <c r="CR42" t="n">
        <v>0.534</v>
      </c>
      <c r="CS42" t="n">
        <v>0.5503</v>
      </c>
      <c r="CT42" t="n">
        <v>0.5508999999999999</v>
      </c>
      <c r="CU42" t="n">
        <v>0.5495</v>
      </c>
      <c r="CV42" t="n">
        <v>0.5542</v>
      </c>
      <c r="CW42" t="n">
        <v>0.5552</v>
      </c>
      <c r="CX42" t="n">
        <v>0.5600000000000001</v>
      </c>
      <c r="CY42" t="n">
        <v>0.5712</v>
      </c>
      <c r="CZ42" t="n">
        <v>0.5753</v>
      </c>
      <c r="DA42" t="n">
        <v>0.577</v>
      </c>
      <c r="DB42" t="n">
        <v>0.5759</v>
      </c>
      <c r="DC42" t="n">
        <v>0.577</v>
      </c>
      <c r="DD42" t="n">
        <v>0.5803</v>
      </c>
      <c r="DE42" t="n">
        <v>0.5652</v>
      </c>
      <c r="DF42" t="n">
        <v>0.5977</v>
      </c>
      <c r="DG42" t="n">
        <v>0.6027</v>
      </c>
      <c r="DH42" t="n">
        <v>0.6058</v>
      </c>
      <c r="DI42" t="n">
        <v>0.6002999999999999</v>
      </c>
      <c r="DJ42" t="n">
        <v>0.6183999999999999</v>
      </c>
      <c r="DK42" t="n">
        <v>0.6171</v>
      </c>
      <c r="DL42" t="n">
        <v>0.6279</v>
      </c>
      <c r="DM42" t="n">
        <v>0.6315</v>
      </c>
      <c r="DN42" t="n">
        <v>0.6252</v>
      </c>
      <c r="DO42" t="n">
        <v>0.6259</v>
      </c>
      <c r="DP42" t="n">
        <v>0.6445</v>
      </c>
      <c r="DQ42" t="n">
        <v>0.6472</v>
      </c>
      <c r="DR42" t="n">
        <v>0.6524</v>
      </c>
      <c r="DS42" t="n">
        <v>0.6662</v>
      </c>
      <c r="DT42" t="n">
        <v>0.6719000000000001</v>
      </c>
      <c r="DU42" t="n">
        <v>0.6938</v>
      </c>
      <c r="DV42" t="n">
        <v>0.6958</v>
      </c>
      <c r="DW42" t="n">
        <v>0.6889999999999999</v>
      </c>
      <c r="DX42" t="n">
        <v>0.7048</v>
      </c>
      <c r="DY42" t="n">
        <v>0.7635</v>
      </c>
      <c r="DZ42" t="n">
        <v>0.9574</v>
      </c>
      <c r="EA42" t="n">
        <v>1.1779</v>
      </c>
      <c r="EC42" t="n">
        <v>0.525</v>
      </c>
      <c r="EE42" t="n">
        <v>0.047</v>
      </c>
      <c r="EO42" t="n">
        <v>0.1039</v>
      </c>
      <c r="EQ42" t="n">
        <v>74</v>
      </c>
    </row>
    <row r="43">
      <c r="BH43" t="n">
        <v>8</v>
      </c>
      <c r="BI43" t="n">
        <v>0.3241</v>
      </c>
      <c r="BJ43" t="n">
        <v>0.3484</v>
      </c>
      <c r="BK43" t="n">
        <v>0.3838</v>
      </c>
      <c r="BL43" t="n">
        <v>0.3826</v>
      </c>
      <c r="BM43" t="n">
        <v>0.4211</v>
      </c>
      <c r="BN43" t="n">
        <v>0.4098</v>
      </c>
      <c r="BO43" t="n">
        <v>0.436</v>
      </c>
      <c r="BP43" t="n">
        <v>0.393</v>
      </c>
      <c r="BQ43" t="n">
        <v>0.4418</v>
      </c>
      <c r="BR43" t="n">
        <v>0.443</v>
      </c>
      <c r="BS43" t="n">
        <v>0.4475</v>
      </c>
      <c r="BT43" t="n">
        <v>0.457</v>
      </c>
      <c r="BU43" t="n">
        <v>0.4514</v>
      </c>
      <c r="BV43" t="n">
        <v>0.4382</v>
      </c>
      <c r="BW43" t="n">
        <v>0.4431</v>
      </c>
      <c r="BX43" t="n">
        <v>0.4196</v>
      </c>
      <c r="BY43" t="n">
        <v>0.4834</v>
      </c>
      <c r="BZ43" t="n">
        <v>0.4958</v>
      </c>
      <c r="CA43" t="n">
        <v>0.4996</v>
      </c>
      <c r="CB43" t="n">
        <v>0.4994</v>
      </c>
      <c r="CC43" t="n">
        <v>0.4427</v>
      </c>
      <c r="CD43" t="n">
        <v>0.4528</v>
      </c>
      <c r="CE43" t="n">
        <v>0.5078</v>
      </c>
      <c r="CF43" t="n">
        <v>0.5167</v>
      </c>
      <c r="CG43" t="n">
        <v>0.521</v>
      </c>
      <c r="CH43" t="n">
        <v>0.5215</v>
      </c>
      <c r="CI43" t="n">
        <v>0.5304</v>
      </c>
      <c r="CJ43" t="n">
        <v>0.5195</v>
      </c>
      <c r="CK43" t="n">
        <v>0.5386</v>
      </c>
      <c r="CL43" t="n">
        <v>0.5367</v>
      </c>
      <c r="CM43" t="n">
        <v>0.5158</v>
      </c>
      <c r="CN43" t="n">
        <v>0.5565</v>
      </c>
      <c r="CO43" t="n">
        <v>0.5570000000000001</v>
      </c>
      <c r="CP43" t="n">
        <v>0.5626</v>
      </c>
      <c r="CQ43" t="n">
        <v>0.5823</v>
      </c>
      <c r="CR43" t="n">
        <v>0.5581</v>
      </c>
      <c r="CS43" t="n">
        <v>0.5827</v>
      </c>
      <c r="CT43" t="n">
        <v>0.5803</v>
      </c>
      <c r="CU43" t="n">
        <v>0.5760999999999999</v>
      </c>
      <c r="CV43" t="n">
        <v>0.5836</v>
      </c>
      <c r="CW43" t="n">
        <v>0.5848</v>
      </c>
      <c r="CX43" t="n">
        <v>0.5895</v>
      </c>
      <c r="CY43" t="n">
        <v>0.6012999999999999</v>
      </c>
      <c r="CZ43" t="n">
        <v>0.6096</v>
      </c>
      <c r="DA43" t="n">
        <v>0.6089</v>
      </c>
      <c r="DB43" t="n">
        <v>0.6065</v>
      </c>
      <c r="DC43" t="n">
        <v>0.6075</v>
      </c>
      <c r="DD43" t="n">
        <v>0.611</v>
      </c>
      <c r="DE43" t="n">
        <v>0.5790999999999999</v>
      </c>
      <c r="DF43" t="n">
        <v>0.6308</v>
      </c>
      <c r="DG43" t="n">
        <v>0.6362</v>
      </c>
      <c r="DH43" t="n">
        <v>0.6413</v>
      </c>
      <c r="DI43" t="n">
        <v>0.6289</v>
      </c>
      <c r="DJ43" t="n">
        <v>0.658</v>
      </c>
      <c r="DK43" t="n">
        <v>0.6498</v>
      </c>
      <c r="DL43" t="n">
        <v>0.6633</v>
      </c>
      <c r="DM43" t="n">
        <v>0.6684</v>
      </c>
      <c r="DN43" t="n">
        <v>0.6578000000000001</v>
      </c>
      <c r="DO43" t="n">
        <v>0.6535</v>
      </c>
      <c r="DP43" t="n">
        <v>0.6804</v>
      </c>
      <c r="DQ43" t="n">
        <v>0.6823</v>
      </c>
      <c r="DR43" t="n">
        <v>0.6883</v>
      </c>
      <c r="DS43" t="n">
        <v>0.7038</v>
      </c>
      <c r="DT43" t="n">
        <v>0.7030999999999999</v>
      </c>
      <c r="DU43" t="n">
        <v>0.7338</v>
      </c>
      <c r="DV43" t="n">
        <v>0.7341</v>
      </c>
      <c r="DW43" t="n">
        <v>0.7178</v>
      </c>
      <c r="DX43" t="n">
        <v>0.7445000000000001</v>
      </c>
      <c r="DY43" t="n">
        <v>0.7969000000000001</v>
      </c>
      <c r="DZ43" t="n">
        <v>1.0015</v>
      </c>
      <c r="EA43" t="n">
        <v>1.2272</v>
      </c>
      <c r="EC43" t="n">
        <v>0.544</v>
      </c>
      <c r="EE43" t="n">
        <v>0.038</v>
      </c>
      <c r="EO43" t="n">
        <v>0.1047</v>
      </c>
      <c r="EQ43" t="n">
        <v>72</v>
      </c>
    </row>
    <row r="44">
      <c r="EC44" t="n">
        <v>0.549</v>
      </c>
      <c r="EE44" t="n">
        <v>0.036</v>
      </c>
      <c r="EO44" t="n">
        <v>0.105</v>
      </c>
      <c r="EQ44" t="n">
        <v>74</v>
      </c>
    </row>
    <row r="45">
      <c r="EC45" t="n">
        <v>0.549</v>
      </c>
      <c r="EE45" t="n">
        <v>0.042</v>
      </c>
      <c r="EO45" t="n">
        <v>0.1098</v>
      </c>
      <c r="EQ45" t="n">
        <v>40</v>
      </c>
    </row>
    <row r="46">
      <c r="N46" s="75" t="inlineStr">
        <is>
          <t>DATA 2 — $/mi cost components (selected cars)</t>
        </is>
      </c>
      <c r="BH46" t="inlineStr">
        <is>
          <t>Vehicle</t>
        </is>
      </c>
      <c r="BI46" t="inlineStr">
        <is>
          <t>Depreciation+tax</t>
        </is>
      </c>
      <c r="BJ46" t="inlineStr">
        <is>
          <t>Fuel/energy</t>
        </is>
      </c>
      <c r="BK46" t="inlineStr">
        <is>
          <t>Maintenance</t>
        </is>
      </c>
      <c r="BL46" t="inlineStr">
        <is>
          <t>Repairs+hassle</t>
        </is>
      </c>
      <c r="BM46" t="inlineStr">
        <is>
          <t>Insurance</t>
        </is>
      </c>
      <c r="BN46" t="inlineStr">
        <is>
          <t>Total-loss</t>
        </is>
      </c>
      <c r="BO46" t="inlineStr">
        <is>
          <t>Tires</t>
        </is>
      </c>
      <c r="BP46" t="inlineStr">
        <is>
          <t>Registration</t>
        </is>
      </c>
      <c r="BQ46" t="inlineStr">
        <is>
          <t>Battery</t>
        </is>
      </c>
      <c r="EC46" t="n">
        <v>0.551</v>
      </c>
      <c r="EE46" t="n">
        <v>0.056</v>
      </c>
      <c r="EO46" t="n">
        <v>0.1101</v>
      </c>
      <c r="EQ46" t="n">
        <v>48</v>
      </c>
    </row>
    <row r="47">
      <c r="N47" s="24" t="inlineStr">
        <is>
          <t>Vehicle</t>
        </is>
      </c>
      <c r="O47" s="24" t="inlineStr">
        <is>
          <t>Depreciation+tax</t>
        </is>
      </c>
      <c r="P47" s="24" t="inlineStr">
        <is>
          <t>Fuel/energy</t>
        </is>
      </c>
      <c r="Q47" s="24" t="inlineStr">
        <is>
          <t>Maintenance</t>
        </is>
      </c>
      <c r="R47" s="24" t="inlineStr">
        <is>
          <t>Repairs+hassle</t>
        </is>
      </c>
      <c r="S47" s="24" t="inlineStr">
        <is>
          <t>Insurance</t>
        </is>
      </c>
      <c r="T47" s="24" t="inlineStr">
        <is>
          <t>Total-loss</t>
        </is>
      </c>
      <c r="U47" s="24" t="inlineStr">
        <is>
          <t>Tires</t>
        </is>
      </c>
      <c r="V47" s="24" t="inlineStr">
        <is>
          <t>Registration</t>
        </is>
      </c>
      <c r="W47" s="24" t="inlineStr">
        <is>
          <t>Battery</t>
        </is>
      </c>
      <c r="BH47" t="inlineStr">
        <is>
          <t>Chevy Bolt EV</t>
        </is>
      </c>
      <c r="BI47" t="n">
        <v>0.082</v>
      </c>
      <c r="BJ47" t="n">
        <v>0.0723</v>
      </c>
      <c r="BK47" t="n">
        <v>0.0262</v>
      </c>
      <c r="BL47" t="n">
        <v>0.007900000000000001</v>
      </c>
      <c r="BM47" t="n">
        <v>0.0876</v>
      </c>
      <c r="BN47" t="n">
        <v>0.0005999999999999999</v>
      </c>
      <c r="BO47" t="n">
        <v>0.03</v>
      </c>
      <c r="BP47" t="n">
        <v>0.0029</v>
      </c>
      <c r="BQ47" t="n">
        <v>0.0145</v>
      </c>
      <c r="EC47" t="n">
        <v>0.5570000000000001</v>
      </c>
      <c r="EE47" t="n">
        <v>0.041</v>
      </c>
      <c r="EO47" t="n">
        <v>0.1139</v>
      </c>
      <c r="EQ47" t="n">
        <v>40</v>
      </c>
    </row>
    <row r="48">
      <c r="N48">
        <f>Charts!$A$4</f>
        <v/>
      </c>
      <c r="O48">
        <f>IFERROR(INDEX($BI$47:$BI$117,MATCH($N$48,$BH$47:$BH$117,0)),"")</f>
        <v/>
      </c>
      <c r="P48">
        <f>IFERROR(INDEX($BJ$47:$BJ$117,MATCH($N$48,$BH$47:$BH$117,0)),"")</f>
        <v/>
      </c>
      <c r="Q48">
        <f>IFERROR(INDEX($BK$47:$BK$117,MATCH($N$48,$BH$47:$BH$117,0)),"")</f>
        <v/>
      </c>
      <c r="R48">
        <f>IFERROR(INDEX($BL$47:$BL$117,MATCH($N$48,$BH$47:$BH$117,0)),"")</f>
        <v/>
      </c>
      <c r="S48">
        <f>IFERROR(INDEX($BM$47:$BM$117,MATCH($N$48,$BH$47:$BH$117,0)),"")</f>
        <v/>
      </c>
      <c r="T48">
        <f>IFERROR(INDEX($BN$47:$BN$117,MATCH($N$48,$BH$47:$BH$117,0)),"")</f>
        <v/>
      </c>
      <c r="U48">
        <f>IFERROR(INDEX($BO$47:$BO$117,MATCH($N$48,$BH$47:$BH$117,0)),"")</f>
        <v/>
      </c>
      <c r="V48">
        <f>IFERROR(INDEX($BP$47:$BP$117,MATCH($N$48,$BH$47:$BH$117,0)),"")</f>
        <v/>
      </c>
      <c r="W48">
        <f>IFERROR(INDEX($BQ$47:$BQ$117,MATCH($N$48,$BH$47:$BH$117,0)),"")</f>
        <v/>
      </c>
      <c r="BH48" t="inlineStr">
        <is>
          <t>Chevy Volt</t>
        </is>
      </c>
      <c r="BI48" t="n">
        <v>0.0857</v>
      </c>
      <c r="BJ48" t="n">
        <v>0.08019999999999999</v>
      </c>
      <c r="BK48" t="n">
        <v>0.0469</v>
      </c>
      <c r="BL48" t="n">
        <v>0.0179</v>
      </c>
      <c r="BM48" t="n">
        <v>0.07770000000000001</v>
      </c>
      <c r="BN48" t="n">
        <v>0.0005999999999999999</v>
      </c>
      <c r="BO48" t="n">
        <v>0.024</v>
      </c>
      <c r="BP48" t="n">
        <v>0.003</v>
      </c>
      <c r="BQ48" t="n">
        <v>0.0039</v>
      </c>
      <c r="EC48" t="n">
        <v>0.5639999999999999</v>
      </c>
      <c r="EE48" t="n">
        <v>0.039</v>
      </c>
      <c r="EO48" t="n">
        <v>0.1238</v>
      </c>
      <c r="EQ48" t="n">
        <v>63</v>
      </c>
    </row>
    <row r="49">
      <c r="N49">
        <f>Charts!$A$5</f>
        <v/>
      </c>
      <c r="O49">
        <f>IFERROR(INDEX($BI$47:$BI$117,MATCH($N$49,$BH$47:$BH$117,0)),"")</f>
        <v/>
      </c>
      <c r="P49">
        <f>IFERROR(INDEX($BJ$47:$BJ$117,MATCH($N$49,$BH$47:$BH$117,0)),"")</f>
        <v/>
      </c>
      <c r="Q49">
        <f>IFERROR(INDEX($BK$47:$BK$117,MATCH($N$49,$BH$47:$BH$117,0)),"")</f>
        <v/>
      </c>
      <c r="R49">
        <f>IFERROR(INDEX($BL$47:$BL$117,MATCH($N$49,$BH$47:$BH$117,0)),"")</f>
        <v/>
      </c>
      <c r="S49">
        <f>IFERROR(INDEX($BM$47:$BM$117,MATCH($N$49,$BH$47:$BH$117,0)),"")</f>
        <v/>
      </c>
      <c r="T49">
        <f>IFERROR(INDEX($BN$47:$BN$117,MATCH($N$49,$BH$47:$BH$117,0)),"")</f>
        <v/>
      </c>
      <c r="U49">
        <f>IFERROR(INDEX($BO$47:$BO$117,MATCH($N$49,$BH$47:$BH$117,0)),"")</f>
        <v/>
      </c>
      <c r="V49">
        <f>IFERROR(INDEX($BP$47:$BP$117,MATCH($N$49,$BH$47:$BH$117,0)),"")</f>
        <v/>
      </c>
      <c r="W49">
        <f>IFERROR(INDEX($BQ$47:$BQ$117,MATCH($N$49,$BH$47:$BH$117,0)),"")</f>
        <v/>
      </c>
      <c r="BH49" t="inlineStr">
        <is>
          <t>Toyota Prius (hybrid)</t>
        </is>
      </c>
      <c r="BI49" t="n">
        <v>0.1221</v>
      </c>
      <c r="BJ49" t="n">
        <v>0.0664</v>
      </c>
      <c r="BK49" t="n">
        <v>0.0491</v>
      </c>
      <c r="BL49" t="n">
        <v>0.008999999999999999</v>
      </c>
      <c r="BM49" t="n">
        <v>0.0843</v>
      </c>
      <c r="BN49" t="n">
        <v>0.0005</v>
      </c>
      <c r="BO49" t="n">
        <v>0.018</v>
      </c>
      <c r="BP49" t="n">
        <v>0.0026</v>
      </c>
      <c r="BQ49" t="n">
        <v>0.0009</v>
      </c>
      <c r="EC49" t="n">
        <v>0.5659999999999999</v>
      </c>
      <c r="EE49" t="n">
        <v>0.06</v>
      </c>
      <c r="EO49" t="n">
        <v>0.128</v>
      </c>
      <c r="EQ49" t="n">
        <v>69</v>
      </c>
    </row>
    <row r="50">
      <c r="N50">
        <f>Charts!$A$6</f>
        <v/>
      </c>
      <c r="O50">
        <f>IFERROR(INDEX($BI$47:$BI$117,MATCH($N$50,$BH$47:$BH$117,0)),"")</f>
        <v/>
      </c>
      <c r="P50">
        <f>IFERROR(INDEX($BJ$47:$BJ$117,MATCH($N$50,$BH$47:$BH$117,0)),"")</f>
        <v/>
      </c>
      <c r="Q50">
        <f>IFERROR(INDEX($BK$47:$BK$117,MATCH($N$50,$BH$47:$BH$117,0)),"")</f>
        <v/>
      </c>
      <c r="R50">
        <f>IFERROR(INDEX($BL$47:$BL$117,MATCH($N$50,$BH$47:$BH$117,0)),"")</f>
        <v/>
      </c>
      <c r="S50">
        <f>IFERROR(INDEX($BM$47:$BM$117,MATCH($N$50,$BH$47:$BH$117,0)),"")</f>
        <v/>
      </c>
      <c r="T50">
        <f>IFERROR(INDEX($BN$47:$BN$117,MATCH($N$50,$BH$47:$BH$117,0)),"")</f>
        <v/>
      </c>
      <c r="U50">
        <f>IFERROR(INDEX($BO$47:$BO$117,MATCH($N$50,$BH$47:$BH$117,0)),"")</f>
        <v/>
      </c>
      <c r="V50">
        <f>IFERROR(INDEX($BP$47:$BP$117,MATCH($N$50,$BH$47:$BH$117,0)),"")</f>
        <v/>
      </c>
      <c r="W50">
        <f>IFERROR(INDEX($BQ$47:$BQ$117,MATCH($N$50,$BH$47:$BH$117,0)),"")</f>
        <v/>
      </c>
      <c r="BH50" t="inlineStr">
        <is>
          <t>Toyota Prius Prime</t>
        </is>
      </c>
      <c r="BI50" t="n">
        <v>0.09030000000000001</v>
      </c>
      <c r="BJ50" t="n">
        <v>0.06619999999999999</v>
      </c>
      <c r="BK50" t="n">
        <v>0.0618</v>
      </c>
      <c r="BL50" t="n">
        <v>0.0143</v>
      </c>
      <c r="BM50" t="n">
        <v>0.1036</v>
      </c>
      <c r="BN50" t="n">
        <v>0.0005999999999999999</v>
      </c>
      <c r="BO50" t="n">
        <v>0.024</v>
      </c>
      <c r="BP50" t="n">
        <v>0.003</v>
      </c>
      <c r="BQ50" t="n">
        <v>0.0039</v>
      </c>
      <c r="EC50" t="n">
        <v>0.57</v>
      </c>
      <c r="EE50" t="n">
        <v>0.04</v>
      </c>
      <c r="EO50" t="n">
        <v>0.1057</v>
      </c>
      <c r="ER50" t="n">
        <v>84</v>
      </c>
    </row>
    <row r="51">
      <c r="N51">
        <f>Charts!$A$7</f>
        <v/>
      </c>
      <c r="O51">
        <f>IFERROR(INDEX($BI$47:$BI$117,MATCH($N$51,$BH$47:$BH$117,0)),"")</f>
        <v/>
      </c>
      <c r="P51">
        <f>IFERROR(INDEX($BJ$47:$BJ$117,MATCH($N$51,$BH$47:$BH$117,0)),"")</f>
        <v/>
      </c>
      <c r="Q51">
        <f>IFERROR(INDEX($BK$47:$BK$117,MATCH($N$51,$BH$47:$BH$117,0)),"")</f>
        <v/>
      </c>
      <c r="R51">
        <f>IFERROR(INDEX($BL$47:$BL$117,MATCH($N$51,$BH$47:$BH$117,0)),"")</f>
        <v/>
      </c>
      <c r="S51">
        <f>IFERROR(INDEX($BM$47:$BM$117,MATCH($N$51,$BH$47:$BH$117,0)),"")</f>
        <v/>
      </c>
      <c r="T51">
        <f>IFERROR(INDEX($BN$47:$BN$117,MATCH($N$51,$BH$47:$BH$117,0)),"")</f>
        <v/>
      </c>
      <c r="U51">
        <f>IFERROR(INDEX($BO$47:$BO$117,MATCH($N$51,$BH$47:$BH$117,0)),"")</f>
        <v/>
      </c>
      <c r="V51">
        <f>IFERROR(INDEX($BP$47:$BP$117,MATCH($N$51,$BH$47:$BH$117,0)),"")</f>
        <v/>
      </c>
      <c r="W51">
        <f>IFERROR(INDEX($BQ$47:$BQ$117,MATCH($N$51,$BH$47:$BH$117,0)),"")</f>
        <v/>
      </c>
      <c r="BH51" t="inlineStr">
        <is>
          <t>Toyota Corolla</t>
        </is>
      </c>
      <c r="BI51" t="n">
        <v>0.0888</v>
      </c>
      <c r="BJ51" t="n">
        <v>0.1106</v>
      </c>
      <c r="BK51" t="n">
        <v>0.0462</v>
      </c>
      <c r="BL51" t="n">
        <v>0.0098</v>
      </c>
      <c r="BM51" t="n">
        <v>0.09279999999999999</v>
      </c>
      <c r="BN51" t="n">
        <v>0.0005</v>
      </c>
      <c r="BO51" t="n">
        <v>0.018</v>
      </c>
      <c r="BP51" t="n">
        <v>0.0027</v>
      </c>
      <c r="BQ51" t="n">
        <v>0</v>
      </c>
      <c r="EC51" t="n">
        <v>0.574</v>
      </c>
      <c r="EE51" t="n">
        <v>0.036</v>
      </c>
      <c r="EO51" t="n">
        <v>0.06710000000000001</v>
      </c>
      <c r="ES51" t="n">
        <v>84</v>
      </c>
    </row>
    <row r="52">
      <c r="N52">
        <f>Charts!$A$8</f>
        <v/>
      </c>
      <c r="O52">
        <f>IFERROR(INDEX($BI$47:$BI$117,MATCH($N$52,$BH$47:$BH$117,0)),"")</f>
        <v/>
      </c>
      <c r="P52">
        <f>IFERROR(INDEX($BJ$47:$BJ$117,MATCH($N$52,$BH$47:$BH$117,0)),"")</f>
        <v/>
      </c>
      <c r="Q52">
        <f>IFERROR(INDEX($BK$47:$BK$117,MATCH($N$52,$BH$47:$BH$117,0)),"")</f>
        <v/>
      </c>
      <c r="R52">
        <f>IFERROR(INDEX($BL$47:$BL$117,MATCH($N$52,$BH$47:$BH$117,0)),"")</f>
        <v/>
      </c>
      <c r="S52">
        <f>IFERROR(INDEX($BM$47:$BM$117,MATCH($N$52,$BH$47:$BH$117,0)),"")</f>
        <v/>
      </c>
      <c r="T52">
        <f>IFERROR(INDEX($BN$47:$BN$117,MATCH($N$52,$BH$47:$BH$117,0)),"")</f>
        <v/>
      </c>
      <c r="U52">
        <f>IFERROR(INDEX($BO$47:$BO$117,MATCH($N$52,$BH$47:$BH$117,0)),"")</f>
        <v/>
      </c>
      <c r="V52">
        <f>IFERROR(INDEX($BP$47:$BP$117,MATCH($N$52,$BH$47:$BH$117,0)),"")</f>
        <v/>
      </c>
      <c r="W52">
        <f>IFERROR(INDEX($BQ$47:$BQ$117,MATCH($N$52,$BH$47:$BH$117,0)),"")</f>
        <v/>
      </c>
      <c r="BH52" t="inlineStr">
        <is>
          <t>Toyota Camry Hybrid</t>
        </is>
      </c>
      <c r="BI52" t="n">
        <v>0.09030000000000001</v>
      </c>
      <c r="BJ52" t="n">
        <v>0.0863</v>
      </c>
      <c r="BK52" t="n">
        <v>0.0593</v>
      </c>
      <c r="BL52" t="n">
        <v>0.0129</v>
      </c>
      <c r="BM52" t="n">
        <v>0.09810000000000001</v>
      </c>
      <c r="BN52" t="n">
        <v>0.0005999999999999999</v>
      </c>
      <c r="BO52" t="n">
        <v>0.018</v>
      </c>
      <c r="BP52" t="n">
        <v>0.0028</v>
      </c>
      <c r="BQ52" t="n">
        <v>0.0013</v>
      </c>
      <c r="EC52" t="n">
        <v>0.582</v>
      </c>
      <c r="EE52" t="n">
        <v>0.036</v>
      </c>
      <c r="EO52" t="n">
        <v>0.0731</v>
      </c>
      <c r="ES52" t="n">
        <v>84</v>
      </c>
    </row>
    <row r="53">
      <c r="N53">
        <f>Charts!$A$9</f>
        <v/>
      </c>
      <c r="O53">
        <f>IFERROR(INDEX($BI$47:$BI$117,MATCH($N$53,$BH$47:$BH$117,0)),"")</f>
        <v/>
      </c>
      <c r="P53">
        <f>IFERROR(INDEX($BJ$47:$BJ$117,MATCH($N$53,$BH$47:$BH$117,0)),"")</f>
        <v/>
      </c>
      <c r="Q53">
        <f>IFERROR(INDEX($BK$47:$BK$117,MATCH($N$53,$BH$47:$BH$117,0)),"")</f>
        <v/>
      </c>
      <c r="R53">
        <f>IFERROR(INDEX($BL$47:$BL$117,MATCH($N$53,$BH$47:$BH$117,0)),"")</f>
        <v/>
      </c>
      <c r="S53">
        <f>IFERROR(INDEX($BM$47:$BM$117,MATCH($N$53,$BH$47:$BH$117,0)),"")</f>
        <v/>
      </c>
      <c r="T53">
        <f>IFERROR(INDEX($BN$47:$BN$117,MATCH($N$53,$BH$47:$BH$117,0)),"")</f>
        <v/>
      </c>
      <c r="U53">
        <f>IFERROR(INDEX($BO$47:$BO$117,MATCH($N$53,$BH$47:$BH$117,0)),"")</f>
        <v/>
      </c>
      <c r="V53">
        <f>IFERROR(INDEX($BP$47:$BP$117,MATCH($N$53,$BH$47:$BH$117,0)),"")</f>
        <v/>
      </c>
      <c r="W53">
        <f>IFERROR(INDEX($BQ$47:$BQ$117,MATCH($N$53,$BH$47:$BH$117,0)),"")</f>
        <v/>
      </c>
      <c r="BH53" t="inlineStr">
        <is>
          <t>Honda Civic</t>
        </is>
      </c>
      <c r="BI53" t="n">
        <v>0.1192</v>
      </c>
      <c r="BJ53" t="n">
        <v>0.1058</v>
      </c>
      <c r="BK53" t="n">
        <v>0.0441</v>
      </c>
      <c r="BL53" t="n">
        <v>0.008399999999999999</v>
      </c>
      <c r="BM53" t="n">
        <v>0.08790000000000001</v>
      </c>
      <c r="BN53" t="n">
        <v>0.0005</v>
      </c>
      <c r="BO53" t="n">
        <v>0.018</v>
      </c>
      <c r="BP53" t="n">
        <v>0.0026</v>
      </c>
      <c r="BQ53" t="n">
        <v>0</v>
      </c>
      <c r="EC53" t="n">
        <v>0.583</v>
      </c>
      <c r="EE53" t="n">
        <v>0.055</v>
      </c>
      <c r="EO53" t="n">
        <v>0.0745</v>
      </c>
      <c r="ES53" t="n">
        <v>89</v>
      </c>
    </row>
    <row r="54">
      <c r="N54">
        <f>Charts!$A$10</f>
        <v/>
      </c>
      <c r="O54">
        <f>IFERROR(INDEX($BI$47:$BI$117,MATCH($N$54,$BH$47:$BH$117,0)),"")</f>
        <v/>
      </c>
      <c r="P54">
        <f>IFERROR(INDEX($BJ$47:$BJ$117,MATCH($N$54,$BH$47:$BH$117,0)),"")</f>
        <v/>
      </c>
      <c r="Q54">
        <f>IFERROR(INDEX($BK$47:$BK$117,MATCH($N$54,$BH$47:$BH$117,0)),"")</f>
        <v/>
      </c>
      <c r="R54">
        <f>IFERROR(INDEX($BL$47:$BL$117,MATCH($N$54,$BH$47:$BH$117,0)),"")</f>
        <v/>
      </c>
      <c r="S54">
        <f>IFERROR(INDEX($BM$47:$BM$117,MATCH($N$54,$BH$47:$BH$117,0)),"")</f>
        <v/>
      </c>
      <c r="T54">
        <f>IFERROR(INDEX($BN$47:$BN$117,MATCH($N$54,$BH$47:$BH$117,0)),"")</f>
        <v/>
      </c>
      <c r="U54">
        <f>IFERROR(INDEX($BO$47:$BO$117,MATCH($N$54,$BH$47:$BH$117,0)),"")</f>
        <v/>
      </c>
      <c r="V54">
        <f>IFERROR(INDEX($BP$47:$BP$117,MATCH($N$54,$BH$47:$BH$117,0)),"")</f>
        <v/>
      </c>
      <c r="W54">
        <f>IFERROR(INDEX($BQ$47:$BQ$117,MATCH($N$54,$BH$47:$BH$117,0)),"")</f>
        <v/>
      </c>
      <c r="BH54" t="inlineStr">
        <is>
          <t>Nissan Leaf</t>
        </is>
      </c>
      <c r="BI54" t="n">
        <v>0.0906</v>
      </c>
      <c r="BJ54" t="n">
        <v>0.0891</v>
      </c>
      <c r="BK54" t="n">
        <v>0.0286</v>
      </c>
      <c r="BL54" t="n">
        <v>0.0086</v>
      </c>
      <c r="BM54" t="n">
        <v>0.1067</v>
      </c>
      <c r="BN54" t="n">
        <v>0.0007</v>
      </c>
      <c r="BO54" t="n">
        <v>0.03</v>
      </c>
      <c r="BP54" t="n">
        <v>0.0033</v>
      </c>
      <c r="BQ54" t="n">
        <v>0.0354</v>
      </c>
      <c r="EC54" t="n">
        <v>0.589</v>
      </c>
      <c r="EE54" t="n">
        <v>0.047</v>
      </c>
      <c r="EO54" t="n">
        <v>0.0746</v>
      </c>
      <c r="ES54" t="n">
        <v>75</v>
      </c>
    </row>
    <row r="55">
      <c r="N55">
        <f>Charts!$A$11</f>
        <v/>
      </c>
      <c r="O55">
        <f>IFERROR(INDEX($BI$47:$BI$117,MATCH($N$55,$BH$47:$BH$117,0)),"")</f>
        <v/>
      </c>
      <c r="P55">
        <f>IFERROR(INDEX($BJ$47:$BJ$117,MATCH($N$55,$BH$47:$BH$117,0)),"")</f>
        <v/>
      </c>
      <c r="Q55">
        <f>IFERROR(INDEX($BK$47:$BK$117,MATCH($N$55,$BH$47:$BH$117,0)),"")</f>
        <v/>
      </c>
      <c r="R55">
        <f>IFERROR(INDEX($BL$47:$BL$117,MATCH($N$55,$BH$47:$BH$117,0)),"")</f>
        <v/>
      </c>
      <c r="S55">
        <f>IFERROR(INDEX($BM$47:$BM$117,MATCH($N$55,$BH$47:$BH$117,0)),"")</f>
        <v/>
      </c>
      <c r="T55">
        <f>IFERROR(INDEX($BN$47:$BN$117,MATCH($N$55,$BH$47:$BH$117,0)),"")</f>
        <v/>
      </c>
      <c r="U55">
        <f>IFERROR(INDEX($BO$47:$BO$117,MATCH($N$55,$BH$47:$BH$117,0)),"")</f>
        <v/>
      </c>
      <c r="V55">
        <f>IFERROR(INDEX($BP$47:$BP$117,MATCH($N$55,$BH$47:$BH$117,0)),"")</f>
        <v/>
      </c>
      <c r="W55">
        <f>IFERROR(INDEX($BQ$47:$BQ$117,MATCH($N$55,$BH$47:$BH$117,0)),"")</f>
        <v/>
      </c>
      <c r="BH55" t="inlineStr">
        <is>
          <t>Hyundai Elantra</t>
        </is>
      </c>
      <c r="BI55" t="n">
        <v>0.1017</v>
      </c>
      <c r="BJ55" t="n">
        <v>0.1069</v>
      </c>
      <c r="BK55" t="n">
        <v>0.0634</v>
      </c>
      <c r="BL55" t="n">
        <v>0.0177</v>
      </c>
      <c r="BM55" t="n">
        <v>0.08</v>
      </c>
      <c r="BN55" t="n">
        <v>0.0013</v>
      </c>
      <c r="BO55" t="n">
        <v>0.018</v>
      </c>
      <c r="BP55" t="n">
        <v>0.0029</v>
      </c>
      <c r="BQ55" t="n">
        <v>0</v>
      </c>
      <c r="EC55" t="n">
        <v>0.592</v>
      </c>
      <c r="EE55" t="n">
        <v>0.055</v>
      </c>
      <c r="EO55" t="n">
        <v>0.0771</v>
      </c>
      <c r="ES55" t="n">
        <v>141</v>
      </c>
    </row>
    <row r="56">
      <c r="N56">
        <f>Charts!$A$12</f>
        <v/>
      </c>
      <c r="O56">
        <f>IFERROR(INDEX($BI$47:$BI$117,MATCH($N$56,$BH$47:$BH$117,0)),"")</f>
        <v/>
      </c>
      <c r="P56">
        <f>IFERROR(INDEX($BJ$47:$BJ$117,MATCH($N$56,$BH$47:$BH$117,0)),"")</f>
        <v/>
      </c>
      <c r="Q56">
        <f>IFERROR(INDEX($BK$47:$BK$117,MATCH($N$56,$BH$47:$BH$117,0)),"")</f>
        <v/>
      </c>
      <c r="R56">
        <f>IFERROR(INDEX($BL$47:$BL$117,MATCH($N$56,$BH$47:$BH$117,0)),"")</f>
        <v/>
      </c>
      <c r="S56">
        <f>IFERROR(INDEX($BM$47:$BM$117,MATCH($N$56,$BH$47:$BH$117,0)),"")</f>
        <v/>
      </c>
      <c r="T56">
        <f>IFERROR(INDEX($BN$47:$BN$117,MATCH($N$56,$BH$47:$BH$117,0)),"")</f>
        <v/>
      </c>
      <c r="U56">
        <f>IFERROR(INDEX($BO$47:$BO$117,MATCH($N$56,$BH$47:$BH$117,0)),"")</f>
        <v/>
      </c>
      <c r="V56">
        <f>IFERROR(INDEX($BP$47:$BP$117,MATCH($N$56,$BH$47:$BH$117,0)),"")</f>
        <v/>
      </c>
      <c r="W56">
        <f>IFERROR(INDEX($BQ$47:$BQ$117,MATCH($N$56,$BH$47:$BH$117,0)),"")</f>
        <v/>
      </c>
      <c r="BH56" t="inlineStr">
        <is>
          <t>Honda Accord</t>
        </is>
      </c>
      <c r="BI56" t="n">
        <v>0.0881</v>
      </c>
      <c r="BJ56" t="n">
        <v>0.1166</v>
      </c>
      <c r="BK56" t="n">
        <v>0.059</v>
      </c>
      <c r="BL56" t="n">
        <v>0.012</v>
      </c>
      <c r="BM56" t="n">
        <v>0.09130000000000001</v>
      </c>
      <c r="BN56" t="n">
        <v>0.0008</v>
      </c>
      <c r="BO56" t="n">
        <v>0.018</v>
      </c>
      <c r="BP56" t="n">
        <v>0.0028</v>
      </c>
      <c r="BQ56" t="n">
        <v>0</v>
      </c>
      <c r="EC56" t="n">
        <v>0.601</v>
      </c>
      <c r="EE56" t="n">
        <v>0.058</v>
      </c>
      <c r="EO56" t="n">
        <v>0.07770000000000001</v>
      </c>
      <c r="ES56" t="n">
        <v>75</v>
      </c>
    </row>
    <row r="57">
      <c r="N57">
        <f>Charts!$A$13</f>
        <v/>
      </c>
      <c r="O57">
        <f>IFERROR(INDEX($BI$47:$BI$117,MATCH($N$57,$BH$47:$BH$117,0)),"")</f>
        <v/>
      </c>
      <c r="P57">
        <f>IFERROR(INDEX($BJ$47:$BJ$117,MATCH($N$57,$BH$47:$BH$117,0)),"")</f>
        <v/>
      </c>
      <c r="Q57">
        <f>IFERROR(INDEX($BK$47:$BK$117,MATCH($N$57,$BH$47:$BH$117,0)),"")</f>
        <v/>
      </c>
      <c r="R57">
        <f>IFERROR(INDEX($BL$47:$BL$117,MATCH($N$57,$BH$47:$BH$117,0)),"")</f>
        <v/>
      </c>
      <c r="S57">
        <f>IFERROR(INDEX($BM$47:$BM$117,MATCH($N$57,$BH$47:$BH$117,0)),"")</f>
        <v/>
      </c>
      <c r="T57">
        <f>IFERROR(INDEX($BN$47:$BN$117,MATCH($N$57,$BH$47:$BH$117,0)),"")</f>
        <v/>
      </c>
      <c r="U57">
        <f>IFERROR(INDEX($BO$47:$BO$117,MATCH($N$57,$BH$47:$BH$117,0)),"")</f>
        <v/>
      </c>
      <c r="V57">
        <f>IFERROR(INDEX($BP$47:$BP$117,MATCH($N$57,$BH$47:$BH$117,0)),"")</f>
        <v/>
      </c>
      <c r="W57">
        <f>IFERROR(INDEX($BQ$47:$BQ$117,MATCH($N$57,$BH$47:$BH$117,0)),"")</f>
        <v/>
      </c>
      <c r="BH57" t="inlineStr">
        <is>
          <t>Kia K4</t>
        </is>
      </c>
      <c r="BI57" t="n">
        <v>0.1171</v>
      </c>
      <c r="BJ57" t="n">
        <v>0.106</v>
      </c>
      <c r="BK57" t="n">
        <v>0.0596</v>
      </c>
      <c r="BL57" t="n">
        <v>0.0141</v>
      </c>
      <c r="BM57" t="n">
        <v>0.0794</v>
      </c>
      <c r="BN57" t="n">
        <v>0.001</v>
      </c>
      <c r="BO57" t="n">
        <v>0.018</v>
      </c>
      <c r="BP57" t="n">
        <v>0.0028</v>
      </c>
      <c r="BQ57" t="n">
        <v>0</v>
      </c>
      <c r="EC57" t="n">
        <v>0.619</v>
      </c>
      <c r="EE57" t="n">
        <v>0.05</v>
      </c>
      <c r="EO57" t="n">
        <v>0.0806</v>
      </c>
      <c r="ES57" t="n">
        <v>86</v>
      </c>
    </row>
    <row r="58">
      <c r="BH58" t="inlineStr">
        <is>
          <t>Mazda3 (SkyActiv)</t>
        </is>
      </c>
      <c r="BI58" t="n">
        <v>0.0975</v>
      </c>
      <c r="BJ58" t="n">
        <v>0.1275</v>
      </c>
      <c r="BK58" t="n">
        <v>0.0569</v>
      </c>
      <c r="BL58" t="n">
        <v>0.009599999999999999</v>
      </c>
      <c r="BM58" t="n">
        <v>0.0838</v>
      </c>
      <c r="BN58" t="n">
        <v>0.0014</v>
      </c>
      <c r="BO58" t="n">
        <v>0.018</v>
      </c>
      <c r="BP58" t="n">
        <v>0.003</v>
      </c>
      <c r="BQ58" t="n">
        <v>0</v>
      </c>
      <c r="EC58" t="n">
        <v>0.63</v>
      </c>
      <c r="EE58" t="n">
        <v>0.044</v>
      </c>
      <c r="EO58" t="n">
        <v>0.0808</v>
      </c>
      <c r="ES58" t="n">
        <v>141</v>
      </c>
    </row>
    <row r="59">
      <c r="BH59" t="inlineStr">
        <is>
          <t>Toyota Camry</t>
        </is>
      </c>
      <c r="BI59" t="n">
        <v>0.1155</v>
      </c>
      <c r="BJ59" t="n">
        <v>0.113</v>
      </c>
      <c r="BK59" t="n">
        <v>0.051</v>
      </c>
      <c r="BL59" t="n">
        <v>0.01</v>
      </c>
      <c r="BM59" t="n">
        <v>0.08799999999999999</v>
      </c>
      <c r="BN59" t="n">
        <v>0.0005</v>
      </c>
      <c r="BO59" t="n">
        <v>0.018</v>
      </c>
      <c r="BP59" t="n">
        <v>0.0026</v>
      </c>
      <c r="BQ59" t="n">
        <v>0</v>
      </c>
      <c r="EC59" t="n">
        <v>0.634</v>
      </c>
      <c r="EE59" t="n">
        <v>0.045</v>
      </c>
      <c r="EO59" t="n">
        <v>0.082</v>
      </c>
      <c r="ES59" t="n">
        <v>87</v>
      </c>
    </row>
    <row r="60">
      <c r="BH60" t="inlineStr">
        <is>
          <t>Toyota RAV4 Hybrid</t>
        </is>
      </c>
      <c r="BI60" t="n">
        <v>0.1466</v>
      </c>
      <c r="BJ60" t="n">
        <v>0.0839</v>
      </c>
      <c r="BK60" t="n">
        <v>0.0463</v>
      </c>
      <c r="BL60" t="n">
        <v>0.008800000000000001</v>
      </c>
      <c r="BM60" t="n">
        <v>0.0852</v>
      </c>
      <c r="BN60" t="n">
        <v>0.0005</v>
      </c>
      <c r="BO60" t="n">
        <v>0.024</v>
      </c>
      <c r="BP60" t="n">
        <v>0.0026</v>
      </c>
      <c r="BQ60" t="n">
        <v>0.001</v>
      </c>
      <c r="EC60" t="n">
        <v>0.64</v>
      </c>
      <c r="EE60" t="n">
        <v>0.052</v>
      </c>
      <c r="EO60" t="n">
        <v>0.0832</v>
      </c>
      <c r="ES60" t="n">
        <v>75</v>
      </c>
    </row>
    <row r="61">
      <c r="BH61" t="inlineStr">
        <is>
          <t>Kia Niro (hybrid)</t>
        </is>
      </c>
      <c r="BI61" t="n">
        <v>0.1189</v>
      </c>
      <c r="BJ61" t="n">
        <v>0.079</v>
      </c>
      <c r="BK61" t="n">
        <v>0.0687</v>
      </c>
      <c r="BL61" t="n">
        <v>0.0206</v>
      </c>
      <c r="BM61" t="n">
        <v>0.0917</v>
      </c>
      <c r="BN61" t="n">
        <v>0.0005999999999999999</v>
      </c>
      <c r="BO61" t="n">
        <v>0.022</v>
      </c>
      <c r="BP61" t="n">
        <v>0.003</v>
      </c>
      <c r="BQ61" t="n">
        <v>0.0018</v>
      </c>
      <c r="EC61" t="n">
        <v>0.641</v>
      </c>
      <c r="EE61" t="n">
        <v>0.045</v>
      </c>
      <c r="EO61" t="n">
        <v>0.0833</v>
      </c>
      <c r="ES61" t="n">
        <v>98</v>
      </c>
    </row>
    <row r="62">
      <c r="BH62" t="inlineStr">
        <is>
          <t>Tesla Model 3</t>
        </is>
      </c>
      <c r="BI62" t="n">
        <v>0.115</v>
      </c>
      <c r="BJ62" t="n">
        <v>0.06</v>
      </c>
      <c r="BK62" t="n">
        <v>0.0423</v>
      </c>
      <c r="BL62" t="n">
        <v>0.0275</v>
      </c>
      <c r="BM62" t="n">
        <v>0.1266</v>
      </c>
      <c r="BN62" t="n">
        <v>0.0005999999999999999</v>
      </c>
      <c r="BO62" t="n">
        <v>0.03</v>
      </c>
      <c r="BP62" t="n">
        <v>0.0028</v>
      </c>
      <c r="BQ62" t="n">
        <v>0.0147</v>
      </c>
      <c r="EC62" t="n">
        <v>0.703</v>
      </c>
      <c r="EE62" t="n">
        <v>0.079</v>
      </c>
      <c r="EO62" t="n">
        <v>0.0842</v>
      </c>
      <c r="ES62" t="n">
        <v>97</v>
      </c>
    </row>
    <row r="63">
      <c r="BH63" t="inlineStr">
        <is>
          <t>Hyundai Sonata</t>
        </is>
      </c>
      <c r="BI63" t="n">
        <v>0.1079</v>
      </c>
      <c r="BJ63" t="n">
        <v>0.1224</v>
      </c>
      <c r="BK63" t="n">
        <v>0.0668</v>
      </c>
      <c r="BL63" t="n">
        <v>0.0192</v>
      </c>
      <c r="BM63" t="n">
        <v>0.0876</v>
      </c>
      <c r="BN63" t="n">
        <v>0.0013</v>
      </c>
      <c r="BO63" t="n">
        <v>0.018</v>
      </c>
      <c r="BP63" t="n">
        <v>0.003</v>
      </c>
      <c r="BQ63" t="n">
        <v>0</v>
      </c>
      <c r="EC63" t="n">
        <v>0.353</v>
      </c>
      <c r="EF63" t="n">
        <v>0.025</v>
      </c>
      <c r="EO63" t="n">
        <v>0.08450000000000001</v>
      </c>
      <c r="ES63" t="n">
        <v>87</v>
      </c>
    </row>
    <row r="64">
      <c r="BH64" t="inlineStr">
        <is>
          <t>Toyota RAV4</t>
        </is>
      </c>
      <c r="BI64" t="n">
        <v>0.1213</v>
      </c>
      <c r="BJ64" t="n">
        <v>0.132</v>
      </c>
      <c r="BK64" t="n">
        <v>0.0525</v>
      </c>
      <c r="BL64" t="n">
        <v>0.0133</v>
      </c>
      <c r="BM64" t="n">
        <v>0.0897</v>
      </c>
      <c r="BN64" t="n">
        <v>0.0005999999999999999</v>
      </c>
      <c r="BO64" t="n">
        <v>0.022</v>
      </c>
      <c r="BP64" t="n">
        <v>0.0029</v>
      </c>
      <c r="BQ64" t="n">
        <v>0</v>
      </c>
      <c r="EC64" t="n">
        <v>0.368</v>
      </c>
      <c r="EF64" t="n">
        <v>0.032</v>
      </c>
      <c r="EO64" t="n">
        <v>0.0859</v>
      </c>
      <c r="ES64" t="n">
        <v>97</v>
      </c>
    </row>
    <row r="65">
      <c r="BH65" t="inlineStr">
        <is>
          <t>Fiat 500</t>
        </is>
      </c>
      <c r="BI65" t="n">
        <v>0.0798</v>
      </c>
      <c r="BJ65" t="n">
        <v>0.1229</v>
      </c>
      <c r="BK65" t="n">
        <v>0.1195</v>
      </c>
      <c r="BL65" t="n">
        <v>0.0235</v>
      </c>
      <c r="BM65" t="n">
        <v>0.0731</v>
      </c>
      <c r="BN65" t="n">
        <v>0.0022</v>
      </c>
      <c r="BO65" t="n">
        <v>0.018</v>
      </c>
      <c r="BP65" t="n">
        <v>0.0031</v>
      </c>
      <c r="BQ65" t="n">
        <v>0</v>
      </c>
      <c r="EC65" t="n">
        <v>0.398</v>
      </c>
      <c r="EF65" t="n">
        <v>0.029</v>
      </c>
      <c r="EO65" t="n">
        <v>0.1004</v>
      </c>
      <c r="ES65" t="n">
        <v>86</v>
      </c>
    </row>
    <row r="66">
      <c r="BH66" t="inlineStr">
        <is>
          <t>Honda CR-V</t>
        </is>
      </c>
      <c r="BI66" t="n">
        <v>0.1212</v>
      </c>
      <c r="BJ66" t="n">
        <v>0.1306</v>
      </c>
      <c r="BK66" t="n">
        <v>0.0624</v>
      </c>
      <c r="BL66" t="n">
        <v>0.0123</v>
      </c>
      <c r="BM66" t="n">
        <v>0.0866</v>
      </c>
      <c r="BN66" t="n">
        <v>0.0005999999999999999</v>
      </c>
      <c r="BO66" t="n">
        <v>0.022</v>
      </c>
      <c r="BP66" t="n">
        <v>0.0028</v>
      </c>
      <c r="BQ66" t="n">
        <v>0</v>
      </c>
      <c r="EC66" t="n">
        <v>0.402</v>
      </c>
      <c r="EF66" t="n">
        <v>0.041</v>
      </c>
      <c r="EO66" t="n">
        <v>0.0591</v>
      </c>
      <c r="ET66" t="n">
        <v>101</v>
      </c>
    </row>
    <row r="67">
      <c r="BH67" t="inlineStr">
        <is>
          <t>VW ID.4 (AWD avail)</t>
        </is>
      </c>
      <c r="BI67" t="n">
        <v>0.1292</v>
      </c>
      <c r="BJ67" t="n">
        <v>0.08890000000000001</v>
      </c>
      <c r="BK67" t="n">
        <v>0.0435</v>
      </c>
      <c r="BL67" t="n">
        <v>0.0298</v>
      </c>
      <c r="BM67" t="n">
        <v>0.1025</v>
      </c>
      <c r="BN67" t="n">
        <v>0.0005999999999999999</v>
      </c>
      <c r="BO67" t="n">
        <v>0.03</v>
      </c>
      <c r="BP67" t="n">
        <v>0.0029</v>
      </c>
      <c r="BQ67" t="n">
        <v>0.0153</v>
      </c>
      <c r="EC67" t="n">
        <v>0.47</v>
      </c>
      <c r="EF67" t="n">
        <v>0.042</v>
      </c>
      <c r="EO67" t="n">
        <v>0.0616</v>
      </c>
      <c r="ET67" t="n">
        <v>101</v>
      </c>
    </row>
    <row r="68">
      <c r="BH68" t="inlineStr">
        <is>
          <t>Toyota RAV4 Prime</t>
        </is>
      </c>
      <c r="BI68" t="n">
        <v>0.1782</v>
      </c>
      <c r="BJ68" t="n">
        <v>0.0856</v>
      </c>
      <c r="BK68" t="n">
        <v>0.0488</v>
      </c>
      <c r="BL68" t="n">
        <v>0.009299999999999999</v>
      </c>
      <c r="BM68" t="n">
        <v>0.0878</v>
      </c>
      <c r="BN68" t="n">
        <v>0.0005999999999999999</v>
      </c>
      <c r="BO68" t="n">
        <v>0.026</v>
      </c>
      <c r="BP68" t="n">
        <v>0.0027</v>
      </c>
      <c r="BQ68" t="n">
        <v>0.0028</v>
      </c>
      <c r="EC68" t="n">
        <v>0.473</v>
      </c>
      <c r="EF68" t="n">
        <v>0.041</v>
      </c>
      <c r="EO68" t="n">
        <v>0.0653</v>
      </c>
      <c r="ET68" t="n">
        <v>144</v>
      </c>
    </row>
    <row r="69">
      <c r="BH69" t="inlineStr">
        <is>
          <t>Kia Soul</t>
        </is>
      </c>
      <c r="BI69" t="n">
        <v>0.1088</v>
      </c>
      <c r="BJ69" t="n">
        <v>0.1384</v>
      </c>
      <c r="BK69" t="n">
        <v>0.067</v>
      </c>
      <c r="BL69" t="n">
        <v>0.0179</v>
      </c>
      <c r="BM69" t="n">
        <v>0.08450000000000001</v>
      </c>
      <c r="BN69" t="n">
        <v>0.0015</v>
      </c>
      <c r="BO69" t="n">
        <v>0.022</v>
      </c>
      <c r="BP69" t="n">
        <v>0.0031</v>
      </c>
      <c r="BQ69" t="n">
        <v>0</v>
      </c>
      <c r="EC69" t="n">
        <v>0.335</v>
      </c>
      <c r="EG69" t="n">
        <v>0.035</v>
      </c>
      <c r="EO69" t="n">
        <v>0.0687</v>
      </c>
      <c r="ET69" t="n">
        <v>87</v>
      </c>
    </row>
    <row r="70">
      <c r="BH70" t="inlineStr">
        <is>
          <t>VW Passat</t>
        </is>
      </c>
      <c r="BI70" t="n">
        <v>0.1008</v>
      </c>
      <c r="BJ70" t="n">
        <v>0.14</v>
      </c>
      <c r="BK70" t="n">
        <v>0.0834</v>
      </c>
      <c r="BL70" t="n">
        <v>0.0203</v>
      </c>
      <c r="BM70" t="n">
        <v>0.0842</v>
      </c>
      <c r="BN70" t="n">
        <v>0.0016</v>
      </c>
      <c r="BO70" t="n">
        <v>0.018</v>
      </c>
      <c r="BP70" t="n">
        <v>0.003</v>
      </c>
      <c r="BQ70" t="n">
        <v>0</v>
      </c>
      <c r="EC70" t="n">
        <v>0.364</v>
      </c>
      <c r="EG70" t="n">
        <v>0.038</v>
      </c>
      <c r="EO70" t="n">
        <v>0.0696</v>
      </c>
      <c r="ET70" t="n">
        <v>120</v>
      </c>
    </row>
    <row r="71">
      <c r="BH71" t="inlineStr">
        <is>
          <t>Buick Encore</t>
        </is>
      </c>
      <c r="BI71" t="n">
        <v>0.1125</v>
      </c>
      <c r="BJ71" t="n">
        <v>0.143</v>
      </c>
      <c r="BK71" t="n">
        <v>0.0709</v>
      </c>
      <c r="BL71" t="n">
        <v>0.0153</v>
      </c>
      <c r="BM71" t="n">
        <v>0.08599999999999999</v>
      </c>
      <c r="BN71" t="n">
        <v>0.0014</v>
      </c>
      <c r="BO71" t="n">
        <v>0.022</v>
      </c>
      <c r="BP71" t="n">
        <v>0.0031</v>
      </c>
      <c r="BQ71" t="n">
        <v>0</v>
      </c>
      <c r="EC71" t="n">
        <v>0.441</v>
      </c>
      <c r="EG71" t="n">
        <v>0.036</v>
      </c>
      <c r="EO71" t="n">
        <v>0.0788</v>
      </c>
      <c r="ET71" t="n">
        <v>122</v>
      </c>
    </row>
    <row r="72">
      <c r="BH72" t="inlineStr">
        <is>
          <t>Hyundai Kona</t>
        </is>
      </c>
      <c r="BI72" t="n">
        <v>0.1161</v>
      </c>
      <c r="BJ72" t="n">
        <v>0.1353</v>
      </c>
      <c r="BK72" t="n">
        <v>0.0692</v>
      </c>
      <c r="BL72" t="n">
        <v>0.018</v>
      </c>
      <c r="BM72" t="n">
        <v>0.0939</v>
      </c>
      <c r="BN72" t="n">
        <v>0.0005999999999999999</v>
      </c>
      <c r="BO72" t="n">
        <v>0.022</v>
      </c>
      <c r="BP72" t="n">
        <v>0.0031</v>
      </c>
      <c r="BQ72" t="n">
        <v>0</v>
      </c>
      <c r="EC72" t="n">
        <v>0.539</v>
      </c>
      <c r="EG72" t="n">
        <v>0.058</v>
      </c>
      <c r="EO72" t="n">
        <v>0.0801</v>
      </c>
      <c r="ET72" t="n">
        <v>144</v>
      </c>
    </row>
    <row r="73">
      <c r="BH73" t="inlineStr">
        <is>
          <t>Mazda CX-5</t>
        </is>
      </c>
      <c r="BI73" t="n">
        <v>0.1251</v>
      </c>
      <c r="BJ73" t="n">
        <v>0.1458</v>
      </c>
      <c r="BK73" t="n">
        <v>0.0665</v>
      </c>
      <c r="BL73" t="n">
        <v>0.0098</v>
      </c>
      <c r="BM73" t="n">
        <v>0.0898</v>
      </c>
      <c r="BN73" t="n">
        <v>0.0005999999999999999</v>
      </c>
      <c r="BO73" t="n">
        <v>0.022</v>
      </c>
      <c r="BP73" t="n">
        <v>0.0029</v>
      </c>
      <c r="BQ73" t="n">
        <v>0</v>
      </c>
    </row>
    <row r="74">
      <c r="BH74" t="inlineStr">
        <is>
          <t>Toyota Highlander Hybrid</t>
        </is>
      </c>
      <c r="BI74" t="n">
        <v>0.1795</v>
      </c>
      <c r="BJ74" t="n">
        <v>0.1013</v>
      </c>
      <c r="BK74" t="n">
        <v>0.0601</v>
      </c>
      <c r="BL74" t="n">
        <v>0.0109</v>
      </c>
      <c r="BM74" t="n">
        <v>0.092</v>
      </c>
      <c r="BN74" t="n">
        <v>0.0005999999999999999</v>
      </c>
      <c r="BO74" t="n">
        <v>0.024</v>
      </c>
      <c r="BP74" t="n">
        <v>0.0027</v>
      </c>
      <c r="BQ74" t="n">
        <v>0.0012</v>
      </c>
    </row>
    <row r="75">
      <c r="BH75" t="inlineStr">
        <is>
          <t>Subaru Outback</t>
        </is>
      </c>
      <c r="BI75" t="n">
        <v>0.1248</v>
      </c>
      <c r="BJ75" t="n">
        <v>0.1349</v>
      </c>
      <c r="BK75" t="n">
        <v>0.0721</v>
      </c>
      <c r="BL75" t="n">
        <v>0.0257</v>
      </c>
      <c r="BM75" t="n">
        <v>0.0905</v>
      </c>
      <c r="BN75" t="n">
        <v>0.0005999999999999999</v>
      </c>
      <c r="BO75" t="n">
        <v>0.024</v>
      </c>
      <c r="BP75" t="n">
        <v>0.003</v>
      </c>
      <c r="BQ75" t="n">
        <v>0</v>
      </c>
    </row>
    <row r="76">
      <c r="BH76" t="inlineStr">
        <is>
          <t>Subaru Forester</t>
        </is>
      </c>
      <c r="BI76" t="n">
        <v>0.1397</v>
      </c>
      <c r="BJ76" t="n">
        <v>0.132</v>
      </c>
      <c r="BK76" t="n">
        <v>0.0672</v>
      </c>
      <c r="BL76" t="n">
        <v>0.0179</v>
      </c>
      <c r="BM76" t="n">
        <v>0.0907</v>
      </c>
      <c r="BN76" t="n">
        <v>0.0005999999999999999</v>
      </c>
      <c r="BO76" t="n">
        <v>0.024</v>
      </c>
      <c r="BP76" t="n">
        <v>0.003</v>
      </c>
      <c r="BQ76" t="n">
        <v>0</v>
      </c>
    </row>
    <row r="77">
      <c r="BH77" t="inlineStr">
        <is>
          <t>Toyota Sienna Hybrid</t>
        </is>
      </c>
      <c r="BI77" t="n">
        <v>0.1967</v>
      </c>
      <c r="BJ77" t="n">
        <v>0.0963</v>
      </c>
      <c r="BK77" t="n">
        <v>0.0538</v>
      </c>
      <c r="BL77" t="n">
        <v>0.009599999999999999</v>
      </c>
      <c r="BM77" t="n">
        <v>0.09</v>
      </c>
      <c r="BN77" t="n">
        <v>0.0005999999999999999</v>
      </c>
      <c r="BO77" t="n">
        <v>0.02</v>
      </c>
      <c r="BP77" t="n">
        <v>0.0027</v>
      </c>
      <c r="BQ77" t="n">
        <v>0.0011</v>
      </c>
    </row>
    <row r="78">
      <c r="N78" s="75" t="inlineStr">
        <is>
          <t>DATA 3 — cost vs bad-luck spread, ALL cars (sorted by fuel)</t>
        </is>
      </c>
      <c r="BH78" t="inlineStr">
        <is>
          <t>Toyota Tacoma</t>
        </is>
      </c>
      <c r="BI78" t="n">
        <v>0.1316</v>
      </c>
      <c r="BJ78" t="n">
        <v>0.1641</v>
      </c>
      <c r="BK78" t="n">
        <v>0.0542</v>
      </c>
      <c r="BL78" t="n">
        <v>0.0136</v>
      </c>
      <c r="BM78" t="n">
        <v>0.0833</v>
      </c>
      <c r="BN78" t="n">
        <v>0.0005</v>
      </c>
      <c r="BO78" t="n">
        <v>0.03</v>
      </c>
      <c r="BP78" t="n">
        <v>0.0025</v>
      </c>
      <c r="BQ78" t="n">
        <v>0</v>
      </c>
    </row>
    <row r="79">
      <c r="BH79" t="inlineStr">
        <is>
          <t>Nissan Rogue</t>
        </is>
      </c>
      <c r="BI79" t="n">
        <v>0.1484</v>
      </c>
      <c r="BJ79" t="n">
        <v>0.1414</v>
      </c>
      <c r="BK79" t="n">
        <v>0.0597</v>
      </c>
      <c r="BL79" t="n">
        <v>0.0195</v>
      </c>
      <c r="BM79" t="n">
        <v>0.09619999999999999</v>
      </c>
      <c r="BN79" t="n">
        <v>0.0007</v>
      </c>
      <c r="BO79" t="n">
        <v>0.022</v>
      </c>
      <c r="BP79" t="n">
        <v>0.0032</v>
      </c>
      <c r="BQ79" t="n">
        <v>0</v>
      </c>
    </row>
    <row r="80">
      <c r="BH80" t="inlineStr">
        <is>
          <t>Chevy Equinox</t>
        </is>
      </c>
      <c r="BI80" t="n">
        <v>0.1278</v>
      </c>
      <c r="BJ80" t="n">
        <v>0.1501</v>
      </c>
      <c r="BK80" t="n">
        <v>0.06900000000000001</v>
      </c>
      <c r="BL80" t="n">
        <v>0.0216</v>
      </c>
      <c r="BM80" t="n">
        <v>0.0983</v>
      </c>
      <c r="BN80" t="n">
        <v>0.0005999999999999999</v>
      </c>
      <c r="BO80" t="n">
        <v>0.022</v>
      </c>
      <c r="BP80" t="n">
        <v>0.0031</v>
      </c>
      <c r="BQ80" t="n">
        <v>0</v>
      </c>
    </row>
    <row r="81">
      <c r="BH81" t="inlineStr">
        <is>
          <t>Toyota Sienna (V6)</t>
        </is>
      </c>
      <c r="BI81" t="n">
        <v>0.1276</v>
      </c>
      <c r="BJ81" t="n">
        <v>0.1866</v>
      </c>
      <c r="BK81" t="n">
        <v>0.0602</v>
      </c>
      <c r="BL81" t="n">
        <v>0.0115</v>
      </c>
      <c r="BM81" t="n">
        <v>0.08599999999999999</v>
      </c>
      <c r="BN81" t="n">
        <v>0.0005999999999999999</v>
      </c>
      <c r="BO81" t="n">
        <v>0.02</v>
      </c>
      <c r="BP81" t="n">
        <v>0.0027</v>
      </c>
      <c r="BQ81" t="n">
        <v>0</v>
      </c>
    </row>
    <row r="82">
      <c r="BH82" t="inlineStr">
        <is>
          <t>Mini Cooper</t>
        </is>
      </c>
      <c r="BI82" t="n">
        <v>0.1322</v>
      </c>
      <c r="BJ82" t="n">
        <v>0.132</v>
      </c>
      <c r="BK82" t="n">
        <v>0.09180000000000001</v>
      </c>
      <c r="BL82" t="n">
        <v>0.0289</v>
      </c>
      <c r="BM82" t="n">
        <v>0.08939999999999999</v>
      </c>
      <c r="BN82" t="n">
        <v>0.0013</v>
      </c>
      <c r="BO82" t="n">
        <v>0.018</v>
      </c>
      <c r="BP82" t="n">
        <v>0.0031</v>
      </c>
      <c r="BQ82" t="n">
        <v>0</v>
      </c>
    </row>
    <row r="83">
      <c r="BH83" t="inlineStr">
        <is>
          <t>Ford Ranger (old compact)</t>
        </is>
      </c>
      <c r="BI83" t="n">
        <v>0.0586</v>
      </c>
      <c r="BJ83" t="n">
        <v>0.1765</v>
      </c>
      <c r="BK83" t="n">
        <v>0.1073</v>
      </c>
      <c r="BL83" t="n">
        <v>0.0288</v>
      </c>
      <c r="BM83" t="n">
        <v>0.09569999999999999</v>
      </c>
      <c r="BN83" t="n">
        <v>0.0005999999999999999</v>
      </c>
      <c r="BO83" t="n">
        <v>0.03</v>
      </c>
      <c r="BP83" t="n">
        <v>0.0029</v>
      </c>
      <c r="BQ83" t="n">
        <v>0</v>
      </c>
    </row>
    <row r="84">
      <c r="BH84" t="inlineStr">
        <is>
          <t>Fiat 500X</t>
        </is>
      </c>
      <c r="BI84" t="n">
        <v>0.1232</v>
      </c>
      <c r="BJ84" t="n">
        <v>0.1599</v>
      </c>
      <c r="BK84" t="n">
        <v>0.08500000000000001</v>
      </c>
      <c r="BL84" t="n">
        <v>0.0135</v>
      </c>
      <c r="BM84" t="n">
        <v>0.0961</v>
      </c>
      <c r="BN84" t="n">
        <v>0.0007</v>
      </c>
      <c r="BO84" t="n">
        <v>0.024</v>
      </c>
      <c r="BP84" t="n">
        <v>0.0032</v>
      </c>
      <c r="BQ84" t="n">
        <v>0</v>
      </c>
    </row>
    <row r="85">
      <c r="BH85" t="inlineStr">
        <is>
          <t>VW GTI</t>
        </is>
      </c>
      <c r="BI85" t="n">
        <v>0.1359</v>
      </c>
      <c r="BJ85" t="n">
        <v>0.1451</v>
      </c>
      <c r="BK85" t="n">
        <v>0.0861</v>
      </c>
      <c r="BL85" t="n">
        <v>0.0246</v>
      </c>
      <c r="BM85" t="n">
        <v>0.095</v>
      </c>
      <c r="BN85" t="n">
        <v>0.0005999999999999999</v>
      </c>
      <c r="BO85" t="n">
        <v>0.018</v>
      </c>
      <c r="BP85" t="n">
        <v>0.003</v>
      </c>
      <c r="BQ85" t="n">
        <v>0</v>
      </c>
    </row>
    <row r="86">
      <c r="BH86" t="inlineStr">
        <is>
          <t>Kia Sportage</t>
        </is>
      </c>
      <c r="BI86" t="n">
        <v>0.1277</v>
      </c>
      <c r="BJ86" t="n">
        <v>0.1599</v>
      </c>
      <c r="BK86" t="n">
        <v>0.0736</v>
      </c>
      <c r="BL86" t="n">
        <v>0.0215</v>
      </c>
      <c r="BM86" t="n">
        <v>0.0985</v>
      </c>
      <c r="BN86" t="n">
        <v>0.0007</v>
      </c>
      <c r="BO86" t="n">
        <v>0.024</v>
      </c>
      <c r="BP86" t="n">
        <v>0.0032</v>
      </c>
      <c r="BQ86" t="n">
        <v>0</v>
      </c>
    </row>
    <row r="87">
      <c r="BH87" t="inlineStr">
        <is>
          <t>Ford Escape</t>
        </is>
      </c>
      <c r="BI87" t="n">
        <v>0.1242</v>
      </c>
      <c r="BJ87" t="n">
        <v>0.1615</v>
      </c>
      <c r="BK87" t="n">
        <v>0.07580000000000001</v>
      </c>
      <c r="BL87" t="n">
        <v>0.0247</v>
      </c>
      <c r="BM87" t="n">
        <v>0.097</v>
      </c>
      <c r="BN87" t="n">
        <v>0.0011</v>
      </c>
      <c r="BO87" t="n">
        <v>0.022</v>
      </c>
      <c r="BP87" t="n">
        <v>0.0033</v>
      </c>
      <c r="BQ87" t="n">
        <v>0</v>
      </c>
    </row>
    <row r="88">
      <c r="BH88" t="inlineStr">
        <is>
          <t>Toyota Highlander</t>
        </is>
      </c>
      <c r="BI88" t="n">
        <v>0.1526</v>
      </c>
      <c r="BJ88" t="n">
        <v>0.1611</v>
      </c>
      <c r="BK88" t="n">
        <v>0.067</v>
      </c>
      <c r="BL88" t="n">
        <v>0.0142</v>
      </c>
      <c r="BM88" t="n">
        <v>0.092</v>
      </c>
      <c r="BN88" t="n">
        <v>0.0005999999999999999</v>
      </c>
      <c r="BO88" t="n">
        <v>0.024</v>
      </c>
      <c r="BP88" t="n">
        <v>0.0029</v>
      </c>
      <c r="BQ88" t="n">
        <v>0</v>
      </c>
    </row>
    <row r="89">
      <c r="BH89" t="inlineStr">
        <is>
          <t>Hyundai Tucson</t>
        </is>
      </c>
      <c r="BI89" t="n">
        <v>0.1542</v>
      </c>
      <c r="BJ89" t="n">
        <v>0.164</v>
      </c>
      <c r="BK89" t="n">
        <v>0.0641</v>
      </c>
      <c r="BL89" t="n">
        <v>0.0195</v>
      </c>
      <c r="BM89" t="n">
        <v>0.09719999999999999</v>
      </c>
      <c r="BN89" t="n">
        <v>0.0007</v>
      </c>
      <c r="BO89" t="n">
        <v>0.022</v>
      </c>
      <c r="BP89" t="n">
        <v>0.0032</v>
      </c>
      <c r="BQ89" t="n">
        <v>0</v>
      </c>
    </row>
    <row r="90">
      <c r="BH90" t="inlineStr">
        <is>
          <t>Toyota 4Runner</t>
        </is>
      </c>
      <c r="BI90" t="n">
        <v>0.1586</v>
      </c>
      <c r="BJ90" t="n">
        <v>0.1871</v>
      </c>
      <c r="BK90" t="n">
        <v>0.0571</v>
      </c>
      <c r="BL90" t="n">
        <v>0.0119</v>
      </c>
      <c r="BM90" t="n">
        <v>0.08069999999999999</v>
      </c>
      <c r="BN90" t="n">
        <v>0.0005</v>
      </c>
      <c r="BO90" t="n">
        <v>0.024</v>
      </c>
      <c r="BP90" t="n">
        <v>0.0025</v>
      </c>
      <c r="BQ90" t="n">
        <v>0</v>
      </c>
    </row>
    <row r="91">
      <c r="BH91" t="inlineStr">
        <is>
          <t>Honda Odyssey</t>
        </is>
      </c>
      <c r="BI91" t="n">
        <v>0.1432</v>
      </c>
      <c r="BJ91" t="n">
        <v>0.1741</v>
      </c>
      <c r="BK91" t="n">
        <v>0.06950000000000001</v>
      </c>
      <c r="BL91" t="n">
        <v>0.0266</v>
      </c>
      <c r="BM91" t="n">
        <v>0.0907</v>
      </c>
      <c r="BN91" t="n">
        <v>0.0005999999999999999</v>
      </c>
      <c r="BO91" t="n">
        <v>0.02</v>
      </c>
      <c r="BP91" t="n">
        <v>0.003</v>
      </c>
      <c r="BQ91" t="n">
        <v>0</v>
      </c>
    </row>
    <row r="92">
      <c r="BH92" t="inlineStr">
        <is>
          <t>Kia Sorento</t>
        </is>
      </c>
      <c r="BI92" t="n">
        <v>0.1401</v>
      </c>
      <c r="BJ92" t="n">
        <v>0.167</v>
      </c>
      <c r="BK92" t="n">
        <v>0.0731</v>
      </c>
      <c r="BL92" t="n">
        <v>0.0235</v>
      </c>
      <c r="BM92" t="n">
        <v>0.09719999999999999</v>
      </c>
      <c r="BN92" t="n">
        <v>0.0005999999999999999</v>
      </c>
      <c r="BO92" t="n">
        <v>0.024</v>
      </c>
      <c r="BP92" t="n">
        <v>0.0031</v>
      </c>
      <c r="BQ92" t="n">
        <v>0</v>
      </c>
    </row>
    <row r="93">
      <c r="BH93" t="inlineStr">
        <is>
          <t>Hyundai Santa Fe</t>
        </is>
      </c>
      <c r="BI93" t="n">
        <v>0.1373</v>
      </c>
      <c r="BJ93" t="n">
        <v>0.1662</v>
      </c>
      <c r="BK93" t="n">
        <v>0.07530000000000001</v>
      </c>
      <c r="BL93" t="n">
        <v>0.0224</v>
      </c>
      <c r="BM93" t="n">
        <v>0.1008</v>
      </c>
      <c r="BN93" t="n">
        <v>0.0007</v>
      </c>
      <c r="BO93" t="n">
        <v>0.024</v>
      </c>
      <c r="BP93" t="n">
        <v>0.0032</v>
      </c>
      <c r="BQ93" t="n">
        <v>0</v>
      </c>
    </row>
    <row r="94">
      <c r="BH94" t="inlineStr">
        <is>
          <t>VW Tiguan</t>
        </is>
      </c>
      <c r="BI94" t="n">
        <v>0.139</v>
      </c>
      <c r="BJ94" t="n">
        <v>0.1672</v>
      </c>
      <c r="BK94" t="n">
        <v>0.08210000000000001</v>
      </c>
      <c r="BL94" t="n">
        <v>0.0218</v>
      </c>
      <c r="BM94" t="n">
        <v>0.0951</v>
      </c>
      <c r="BN94" t="n">
        <v>0.0005999999999999999</v>
      </c>
      <c r="BO94" t="n">
        <v>0.024</v>
      </c>
      <c r="BP94" t="n">
        <v>0.0031</v>
      </c>
      <c r="BQ94" t="n">
        <v>0</v>
      </c>
    </row>
    <row r="95">
      <c r="BH95" t="inlineStr">
        <is>
          <t>Chrysler Pacifica PHEV</t>
        </is>
      </c>
      <c r="BI95" t="n">
        <v>0.1828</v>
      </c>
      <c r="BJ95" t="n">
        <v>0.1248</v>
      </c>
      <c r="BK95" t="n">
        <v>0.0774</v>
      </c>
      <c r="BL95" t="n">
        <v>0.026</v>
      </c>
      <c r="BM95" t="n">
        <v>0.1029</v>
      </c>
      <c r="BN95" t="n">
        <v>0.0007</v>
      </c>
      <c r="BO95" t="n">
        <v>0.02</v>
      </c>
      <c r="BP95" t="n">
        <v>0.0032</v>
      </c>
      <c r="BQ95" t="n">
        <v>0.0058</v>
      </c>
    </row>
    <row r="96">
      <c r="BH96" t="inlineStr">
        <is>
          <t>Subaru Ascent</t>
        </is>
      </c>
      <c r="BI96" t="n">
        <v>0.1636</v>
      </c>
      <c r="BJ96" t="n">
        <v>0.1803</v>
      </c>
      <c r="BK96" t="n">
        <v>0.0653</v>
      </c>
      <c r="BL96" t="n">
        <v>0.0158</v>
      </c>
      <c r="BM96" t="n">
        <v>0.094</v>
      </c>
      <c r="BN96" t="n">
        <v>0.0005999999999999999</v>
      </c>
      <c r="BO96" t="n">
        <v>0.024</v>
      </c>
      <c r="BP96" t="n">
        <v>0.0031</v>
      </c>
      <c r="BQ96" t="n">
        <v>0</v>
      </c>
    </row>
    <row r="97">
      <c r="BH97" t="inlineStr">
        <is>
          <t>Ford Ranger (2019+ midsize)</t>
        </is>
      </c>
      <c r="BI97" t="n">
        <v>0.1372</v>
      </c>
      <c r="BJ97" t="n">
        <v>0.1823</v>
      </c>
      <c r="BK97" t="n">
        <v>0.0813</v>
      </c>
      <c r="BL97" t="n">
        <v>0.0179</v>
      </c>
      <c r="BM97" t="n">
        <v>0.0989</v>
      </c>
      <c r="BN97" t="n">
        <v>0.0005999999999999999</v>
      </c>
      <c r="BO97" t="n">
        <v>0.03</v>
      </c>
      <c r="BP97" t="n">
        <v>0.003</v>
      </c>
      <c r="BQ97" t="n">
        <v>0</v>
      </c>
    </row>
    <row r="98">
      <c r="BH98" t="inlineStr">
        <is>
          <t>Honda Pilot</t>
        </is>
      </c>
      <c r="BI98" t="n">
        <v>0.1531</v>
      </c>
      <c r="BJ98" t="n">
        <v>0.1937</v>
      </c>
      <c r="BK98" t="n">
        <v>0.0713</v>
      </c>
      <c r="BL98" t="n">
        <v>0.0135</v>
      </c>
      <c r="BM98" t="n">
        <v>0.09180000000000001</v>
      </c>
      <c r="BN98" t="n">
        <v>0.0005999999999999999</v>
      </c>
      <c r="BO98" t="n">
        <v>0.024</v>
      </c>
      <c r="BP98" t="n">
        <v>0.003</v>
      </c>
      <c r="BQ98" t="n">
        <v>0</v>
      </c>
    </row>
    <row r="99">
      <c r="BH99" t="inlineStr">
        <is>
          <t>Mini Countryman</t>
        </is>
      </c>
      <c r="BI99" t="n">
        <v>0.1448</v>
      </c>
      <c r="BJ99" t="n">
        <v>0.1558</v>
      </c>
      <c r="BK99" t="n">
        <v>0.0987</v>
      </c>
      <c r="BL99" t="n">
        <v>0.0285</v>
      </c>
      <c r="BM99" t="n">
        <v>0.1006</v>
      </c>
      <c r="BN99" t="n">
        <v>0.0005999999999999999</v>
      </c>
      <c r="BO99" t="n">
        <v>0.024</v>
      </c>
      <c r="BP99" t="n">
        <v>0.0031</v>
      </c>
      <c r="BQ99" t="n">
        <v>0</v>
      </c>
    </row>
    <row r="100">
      <c r="BH100" t="inlineStr">
        <is>
          <t>Toyota Sequoia</t>
        </is>
      </c>
      <c r="BI100" t="n">
        <v>0.1465</v>
      </c>
      <c r="BJ100" t="n">
        <v>0.2164</v>
      </c>
      <c r="BK100" t="n">
        <v>0.0633</v>
      </c>
      <c r="BL100" t="n">
        <v>0.0142</v>
      </c>
      <c r="BM100" t="n">
        <v>0.0897</v>
      </c>
      <c r="BN100" t="n">
        <v>0.0005</v>
      </c>
      <c r="BO100" t="n">
        <v>0.024</v>
      </c>
      <c r="BP100" t="n">
        <v>0.0025</v>
      </c>
      <c r="BQ100" t="n">
        <v>0</v>
      </c>
    </row>
    <row r="101">
      <c r="BH101" t="inlineStr">
        <is>
          <t>Hyundai Palisade</t>
        </is>
      </c>
      <c r="BI101" t="n">
        <v>0.1927</v>
      </c>
      <c r="BJ101" t="n">
        <v>0.1782</v>
      </c>
      <c r="BK101" t="n">
        <v>0.0607</v>
      </c>
      <c r="BL101" t="n">
        <v>0.0168</v>
      </c>
      <c r="BM101" t="n">
        <v>0.09080000000000001</v>
      </c>
      <c r="BN101" t="n">
        <v>0.0005999999999999999</v>
      </c>
      <c r="BO101" t="n">
        <v>0.024</v>
      </c>
      <c r="BP101" t="n">
        <v>0.0029</v>
      </c>
      <c r="BQ101" t="n">
        <v>0</v>
      </c>
    </row>
    <row r="102">
      <c r="BH102" t="inlineStr">
        <is>
          <t>Chrysler Pacifica</t>
        </is>
      </c>
      <c r="BI102" t="n">
        <v>0.1418</v>
      </c>
      <c r="BJ102" t="n">
        <v>0.193</v>
      </c>
      <c r="BK102" t="n">
        <v>0.0824</v>
      </c>
      <c r="BL102" t="n">
        <v>0.0315</v>
      </c>
      <c r="BM102" t="n">
        <v>0.1006</v>
      </c>
      <c r="BN102" t="n">
        <v>0.0007</v>
      </c>
      <c r="BO102" t="n">
        <v>0.02</v>
      </c>
      <c r="BP102" t="n">
        <v>0.0033</v>
      </c>
      <c r="BQ102" t="n">
        <v>0</v>
      </c>
    </row>
    <row r="103">
      <c r="BH103" t="inlineStr">
        <is>
          <t>Chevy Colorado</t>
        </is>
      </c>
      <c r="BI103" t="n">
        <v>0.1436</v>
      </c>
      <c r="BJ103" t="n">
        <v>0.2013</v>
      </c>
      <c r="BK103" t="n">
        <v>0.082</v>
      </c>
      <c r="BL103" t="n">
        <v>0.0212</v>
      </c>
      <c r="BM103" t="n">
        <v>0.09279999999999999</v>
      </c>
      <c r="BN103" t="n">
        <v>0.0005999999999999999</v>
      </c>
      <c r="BO103" t="n">
        <v>0.03</v>
      </c>
      <c r="BP103" t="n">
        <v>0.003</v>
      </c>
      <c r="BQ103" t="n">
        <v>0</v>
      </c>
    </row>
    <row r="104">
      <c r="BH104" t="inlineStr">
        <is>
          <t>Kia Telluride</t>
        </is>
      </c>
      <c r="BI104" t="n">
        <v>0.2008</v>
      </c>
      <c r="BJ104" t="n">
        <v>0.1782</v>
      </c>
      <c r="BK104" t="n">
        <v>0.0607</v>
      </c>
      <c r="BL104" t="n">
        <v>0.0168</v>
      </c>
      <c r="BM104" t="n">
        <v>0.09080000000000001</v>
      </c>
      <c r="BN104" t="n">
        <v>0.0005999999999999999</v>
      </c>
      <c r="BO104" t="n">
        <v>0.024</v>
      </c>
      <c r="BP104" t="n">
        <v>0.0029</v>
      </c>
      <c r="BQ104" t="n">
        <v>0</v>
      </c>
    </row>
    <row r="105">
      <c r="BH105" t="inlineStr">
        <is>
          <t>Mazda CX-90</t>
        </is>
      </c>
      <c r="BI105" t="n">
        <v>0.234</v>
      </c>
      <c r="BJ105" t="n">
        <v>0.1508</v>
      </c>
      <c r="BK105" t="n">
        <v>0.0658</v>
      </c>
      <c r="BL105" t="n">
        <v>0.0175</v>
      </c>
      <c r="BM105" t="n">
        <v>0.0878</v>
      </c>
      <c r="BN105" t="n">
        <v>0.0005999999999999999</v>
      </c>
      <c r="BO105" t="n">
        <v>0.024</v>
      </c>
      <c r="BP105" t="n">
        <v>0.0028</v>
      </c>
      <c r="BQ105" t="n">
        <v>0</v>
      </c>
    </row>
    <row r="106">
      <c r="BH106" t="inlineStr">
        <is>
          <t>Chevy Traverse</t>
        </is>
      </c>
      <c r="BI106" t="n">
        <v>0.1553</v>
      </c>
      <c r="BJ106" t="n">
        <v>0.1956</v>
      </c>
      <c r="BK106" t="n">
        <v>0.0798</v>
      </c>
      <c r="BL106" t="n">
        <v>0.0332</v>
      </c>
      <c r="BM106" t="n">
        <v>0.0973</v>
      </c>
      <c r="BN106" t="n">
        <v>0.0007</v>
      </c>
      <c r="BO106" t="n">
        <v>0.024</v>
      </c>
      <c r="BP106" t="n">
        <v>0.0032</v>
      </c>
      <c r="BQ106" t="n">
        <v>0</v>
      </c>
    </row>
    <row r="107">
      <c r="BH107" t="inlineStr">
        <is>
          <t>VW Atlas</t>
        </is>
      </c>
      <c r="BI107" t="n">
        <v>0.1674</v>
      </c>
      <c r="BJ107" t="n">
        <v>0.191</v>
      </c>
      <c r="BK107" t="n">
        <v>0.0847</v>
      </c>
      <c r="BL107" t="n">
        <v>0.0228</v>
      </c>
      <c r="BM107" t="n">
        <v>0.09959999999999999</v>
      </c>
      <c r="BN107" t="n">
        <v>0.0005999999999999999</v>
      </c>
      <c r="BO107" t="n">
        <v>0.024</v>
      </c>
      <c r="BP107" t="n">
        <v>0.0031</v>
      </c>
      <c r="BQ107" t="n">
        <v>0</v>
      </c>
    </row>
    <row r="108">
      <c r="N108" s="75" t="inlineStr">
        <is>
          <t>DATA 4 — $/mi vs how many miles you drive per year (selected cars)</t>
        </is>
      </c>
      <c r="BH108" t="inlineStr">
        <is>
          <t>Ford Explorer</t>
        </is>
      </c>
      <c r="BI108" t="n">
        <v>0.1609</v>
      </c>
      <c r="BJ108" t="n">
        <v>0.1956</v>
      </c>
      <c r="BK108" t="n">
        <v>0.0798</v>
      </c>
      <c r="BL108" t="n">
        <v>0.0332</v>
      </c>
      <c r="BM108" t="n">
        <v>0.09959999999999999</v>
      </c>
      <c r="BN108" t="n">
        <v>0.0007</v>
      </c>
      <c r="BO108" t="n">
        <v>0.024</v>
      </c>
      <c r="BP108" t="n">
        <v>0.0032</v>
      </c>
      <c r="BQ108" t="n">
        <v>0</v>
      </c>
    </row>
    <row r="109">
      <c r="N109" s="24" t="inlineStr">
        <is>
          <t>Miles/yr</t>
        </is>
      </c>
      <c r="O109">
        <f>Charts!$A$4</f>
        <v/>
      </c>
      <c r="P109">
        <f>Charts!$A$5</f>
        <v/>
      </c>
      <c r="Q109">
        <f>Charts!$A$6</f>
        <v/>
      </c>
      <c r="R109">
        <f>Charts!$A$7</f>
        <v/>
      </c>
      <c r="S109">
        <f>Charts!$A$8</f>
        <v/>
      </c>
      <c r="T109">
        <f>Charts!$A$9</f>
        <v/>
      </c>
      <c r="U109">
        <f>Charts!$A$10</f>
        <v/>
      </c>
      <c r="V109">
        <f>Charts!$A$11</f>
        <v/>
      </c>
      <c r="W109">
        <f>Charts!$A$12</f>
        <v/>
      </c>
      <c r="X109">
        <f>Charts!$A$13</f>
        <v/>
      </c>
      <c r="BH109" t="inlineStr">
        <is>
          <t>Buick Enclave</t>
        </is>
      </c>
      <c r="BI109" t="n">
        <v>0.1527</v>
      </c>
      <c r="BJ109" t="n">
        <v>0.2051</v>
      </c>
      <c r="BK109" t="n">
        <v>0.0856</v>
      </c>
      <c r="BL109" t="n">
        <v>0.0274</v>
      </c>
      <c r="BM109" t="n">
        <v>0.1093</v>
      </c>
      <c r="BN109" t="n">
        <v>0.0007</v>
      </c>
      <c r="BO109" t="n">
        <v>0.024</v>
      </c>
      <c r="BP109" t="n">
        <v>0.0033</v>
      </c>
      <c r="BQ109" t="n">
        <v>0</v>
      </c>
    </row>
    <row r="110">
      <c r="N110" t="n">
        <v>5000</v>
      </c>
      <c r="O110">
        <f>IFERROR(INDEX($BI$16:$EA$16,MATCH(O$109,$BI$15:$EA$15,0)),"")</f>
        <v/>
      </c>
      <c r="P110">
        <f>IFERROR(INDEX($BI$16:$EA$16,MATCH(P$109,$BI$15:$EA$15,0)),"")</f>
        <v/>
      </c>
      <c r="Q110">
        <f>IFERROR(INDEX($BI$16:$EA$16,MATCH(Q$109,$BI$15:$EA$15,0)),"")</f>
        <v/>
      </c>
      <c r="R110">
        <f>IFERROR(INDEX($BI$16:$EA$16,MATCH(R$109,$BI$15:$EA$15,0)),"")</f>
        <v/>
      </c>
      <c r="S110">
        <f>IFERROR(INDEX($BI$16:$EA$16,MATCH(S$109,$BI$15:$EA$15,0)),"")</f>
        <v/>
      </c>
      <c r="T110">
        <f>IFERROR(INDEX($BI$16:$EA$16,MATCH(T$109,$BI$15:$EA$15,0)),"")</f>
        <v/>
      </c>
      <c r="U110">
        <f>IFERROR(INDEX($BI$16:$EA$16,MATCH(U$109,$BI$15:$EA$15,0)),"")</f>
        <v/>
      </c>
      <c r="V110">
        <f>IFERROR(INDEX($BI$16:$EA$16,MATCH(V$109,$BI$15:$EA$15,0)),"")</f>
        <v/>
      </c>
      <c r="W110">
        <f>IFERROR(INDEX($BI$16:$EA$16,MATCH(W$109,$BI$15:$EA$15,0)),"")</f>
        <v/>
      </c>
      <c r="X110">
        <f>IFERROR(INDEX($BI$16:$EA$16,MATCH(X$109,$BI$15:$EA$15,0)),"")</f>
        <v/>
      </c>
      <c r="BH110" t="inlineStr">
        <is>
          <t>Volvo XC60</t>
        </is>
      </c>
      <c r="BI110" t="n">
        <v>0.1861</v>
      </c>
      <c r="BJ110" t="n">
        <v>0.1703</v>
      </c>
      <c r="BK110" t="n">
        <v>0.1088</v>
      </c>
      <c r="BL110" t="n">
        <v>0.027</v>
      </c>
      <c r="BM110" t="n">
        <v>0.1038</v>
      </c>
      <c r="BN110" t="n">
        <v>0.0005999999999999999</v>
      </c>
      <c r="BO110" t="n">
        <v>0.024</v>
      </c>
      <c r="BP110" t="n">
        <v>0.003</v>
      </c>
      <c r="BQ110" t="n">
        <v>0</v>
      </c>
    </row>
    <row r="111">
      <c r="N111" t="n">
        <v>8000</v>
      </c>
      <c r="O111">
        <f>IFERROR(INDEX($BI$17:$EA$17,MATCH(O$109,$BI$15:$EA$15,0)),"")</f>
        <v/>
      </c>
      <c r="P111">
        <f>IFERROR(INDEX($BI$17:$EA$17,MATCH(P$109,$BI$15:$EA$15,0)),"")</f>
        <v/>
      </c>
      <c r="Q111">
        <f>IFERROR(INDEX($BI$17:$EA$17,MATCH(Q$109,$BI$15:$EA$15,0)),"")</f>
        <v/>
      </c>
      <c r="R111">
        <f>IFERROR(INDEX($BI$17:$EA$17,MATCH(R$109,$BI$15:$EA$15,0)),"")</f>
        <v/>
      </c>
      <c r="S111">
        <f>IFERROR(INDEX($BI$17:$EA$17,MATCH(S$109,$BI$15:$EA$15,0)),"")</f>
        <v/>
      </c>
      <c r="T111">
        <f>IFERROR(INDEX($BI$17:$EA$17,MATCH(T$109,$BI$15:$EA$15,0)),"")</f>
        <v/>
      </c>
      <c r="U111">
        <f>IFERROR(INDEX($BI$17:$EA$17,MATCH(U$109,$BI$15:$EA$15,0)),"")</f>
        <v/>
      </c>
      <c r="V111">
        <f>IFERROR(INDEX($BI$17:$EA$17,MATCH(V$109,$BI$15:$EA$15,0)),"")</f>
        <v/>
      </c>
      <c r="W111">
        <f>IFERROR(INDEX($BI$17:$EA$17,MATCH(W$109,$BI$15:$EA$15,0)),"")</f>
        <v/>
      </c>
      <c r="X111">
        <f>IFERROR(INDEX($BI$17:$EA$17,MATCH(X$109,$BI$15:$EA$15,0)),"")</f>
        <v/>
      </c>
      <c r="BH111" t="inlineStr">
        <is>
          <t>Chevy Tahoe</t>
        </is>
      </c>
      <c r="BI111" t="n">
        <v>0.2072</v>
      </c>
      <c r="BJ111" t="n">
        <v>0.2186</v>
      </c>
      <c r="BK111" t="n">
        <v>0.064</v>
      </c>
      <c r="BL111" t="n">
        <v>0.022</v>
      </c>
      <c r="BM111" t="n">
        <v>0.0927</v>
      </c>
      <c r="BN111" t="n">
        <v>0.0005999999999999999</v>
      </c>
      <c r="BO111" t="n">
        <v>0.024</v>
      </c>
      <c r="BP111" t="n">
        <v>0.0027</v>
      </c>
      <c r="BQ111" t="n">
        <v>0</v>
      </c>
    </row>
    <row r="112">
      <c r="N112" t="n">
        <v>11000</v>
      </c>
      <c r="O112">
        <f>IFERROR(INDEX($BI$18:$EA$18,MATCH(O$109,$BI$15:$EA$15,0)),"")</f>
        <v/>
      </c>
      <c r="P112">
        <f>IFERROR(INDEX($BI$18:$EA$18,MATCH(P$109,$BI$15:$EA$15,0)),"")</f>
        <v/>
      </c>
      <c r="Q112">
        <f>IFERROR(INDEX($BI$18:$EA$18,MATCH(Q$109,$BI$15:$EA$15,0)),"")</f>
        <v/>
      </c>
      <c r="R112">
        <f>IFERROR(INDEX($BI$18:$EA$18,MATCH(R$109,$BI$15:$EA$15,0)),"")</f>
        <v/>
      </c>
      <c r="S112">
        <f>IFERROR(INDEX($BI$18:$EA$18,MATCH(S$109,$BI$15:$EA$15,0)),"")</f>
        <v/>
      </c>
      <c r="T112">
        <f>IFERROR(INDEX($BI$18:$EA$18,MATCH(T$109,$BI$15:$EA$15,0)),"")</f>
        <v/>
      </c>
      <c r="U112">
        <f>IFERROR(INDEX($BI$18:$EA$18,MATCH(U$109,$BI$15:$EA$15,0)),"")</f>
        <v/>
      </c>
      <c r="V112">
        <f>IFERROR(INDEX($BI$18:$EA$18,MATCH(V$109,$BI$15:$EA$15,0)),"")</f>
        <v/>
      </c>
      <c r="W112">
        <f>IFERROR(INDEX($BI$18:$EA$18,MATCH(W$109,$BI$15:$EA$15,0)),"")</f>
        <v/>
      </c>
      <c r="X112">
        <f>IFERROR(INDEX($BI$18:$EA$18,MATCH(X$109,$BI$15:$EA$15,0)),"")</f>
        <v/>
      </c>
      <c r="BH112" t="inlineStr">
        <is>
          <t>Jeep Grand Cherokee L</t>
        </is>
      </c>
      <c r="BI112" t="n">
        <v>0.2058</v>
      </c>
      <c r="BJ112" t="n">
        <v>0.2088</v>
      </c>
      <c r="BK112" t="n">
        <v>0.0722</v>
      </c>
      <c r="BL112" t="n">
        <v>0.0238</v>
      </c>
      <c r="BM112" t="n">
        <v>0.0985</v>
      </c>
      <c r="BN112" t="n">
        <v>0.0005999999999999999</v>
      </c>
      <c r="BO112" t="n">
        <v>0.024</v>
      </c>
      <c r="BP112" t="n">
        <v>0.0031</v>
      </c>
      <c r="BQ112" t="n">
        <v>0</v>
      </c>
    </row>
    <row r="113">
      <c r="N113" t="n">
        <v>13000</v>
      </c>
      <c r="O113">
        <f>IFERROR(INDEX($BI$19:$EA$19,MATCH(O$109,$BI$15:$EA$15,0)),"")</f>
        <v/>
      </c>
      <c r="P113">
        <f>IFERROR(INDEX($BI$19:$EA$19,MATCH(P$109,$BI$15:$EA$15,0)),"")</f>
        <v/>
      </c>
      <c r="Q113">
        <f>IFERROR(INDEX($BI$19:$EA$19,MATCH(Q$109,$BI$15:$EA$15,0)),"")</f>
        <v/>
      </c>
      <c r="R113">
        <f>IFERROR(INDEX($BI$19:$EA$19,MATCH(R$109,$BI$15:$EA$15,0)),"")</f>
        <v/>
      </c>
      <c r="S113">
        <f>IFERROR(INDEX($BI$19:$EA$19,MATCH(S$109,$BI$15:$EA$15,0)),"")</f>
        <v/>
      </c>
      <c r="T113">
        <f>IFERROR(INDEX($BI$19:$EA$19,MATCH(T$109,$BI$15:$EA$15,0)),"")</f>
        <v/>
      </c>
      <c r="U113">
        <f>IFERROR(INDEX($BI$19:$EA$19,MATCH(U$109,$BI$15:$EA$15,0)),"")</f>
        <v/>
      </c>
      <c r="V113">
        <f>IFERROR(INDEX($BI$19:$EA$19,MATCH(V$109,$BI$15:$EA$15,0)),"")</f>
        <v/>
      </c>
      <c r="W113">
        <f>IFERROR(INDEX($BI$19:$EA$19,MATCH(W$109,$BI$15:$EA$15,0)),"")</f>
        <v/>
      </c>
      <c r="X113">
        <f>IFERROR(INDEX($BI$19:$EA$19,MATCH(X$109,$BI$15:$EA$15,0)),"")</f>
        <v/>
      </c>
      <c r="BH113" t="inlineStr">
        <is>
          <t>Volvo V90 Cross Country</t>
        </is>
      </c>
      <c r="BI113" t="n">
        <v>0.2207</v>
      </c>
      <c r="BJ113" t="n">
        <v>0.1566</v>
      </c>
      <c r="BK113" t="n">
        <v>0.1088</v>
      </c>
      <c r="BL113" t="n">
        <v>0.027</v>
      </c>
      <c r="BM113" t="n">
        <v>0.1038</v>
      </c>
      <c r="BN113" t="n">
        <v>0.0005999999999999999</v>
      </c>
      <c r="BO113" t="n">
        <v>0.024</v>
      </c>
      <c r="BP113" t="n">
        <v>0.003</v>
      </c>
      <c r="BQ113" t="n">
        <v>0</v>
      </c>
    </row>
    <row r="114">
      <c r="N114" t="n">
        <v>16000</v>
      </c>
      <c r="O114">
        <f>IFERROR(INDEX($BI$20:$EA$20,MATCH(O$109,$BI$15:$EA$15,0)),"")</f>
        <v/>
      </c>
      <c r="P114">
        <f>IFERROR(INDEX($BI$20:$EA$20,MATCH(P$109,$BI$15:$EA$15,0)),"")</f>
        <v/>
      </c>
      <c r="Q114">
        <f>IFERROR(INDEX($BI$20:$EA$20,MATCH(Q$109,$BI$15:$EA$15,0)),"")</f>
        <v/>
      </c>
      <c r="R114">
        <f>IFERROR(INDEX($BI$20:$EA$20,MATCH(R$109,$BI$15:$EA$15,0)),"")</f>
        <v/>
      </c>
      <c r="S114">
        <f>IFERROR(INDEX($BI$20:$EA$20,MATCH(S$109,$BI$15:$EA$15,0)),"")</f>
        <v/>
      </c>
      <c r="T114">
        <f>IFERROR(INDEX($BI$20:$EA$20,MATCH(T$109,$BI$15:$EA$15,0)),"")</f>
        <v/>
      </c>
      <c r="U114">
        <f>IFERROR(INDEX($BI$20:$EA$20,MATCH(U$109,$BI$15:$EA$15,0)),"")</f>
        <v/>
      </c>
      <c r="V114">
        <f>IFERROR(INDEX($BI$20:$EA$20,MATCH(V$109,$BI$15:$EA$15,0)),"")</f>
        <v/>
      </c>
      <c r="W114">
        <f>IFERROR(INDEX($BI$20:$EA$20,MATCH(W$109,$BI$15:$EA$15,0)),"")</f>
        <v/>
      </c>
      <c r="X114">
        <f>IFERROR(INDEX($BI$20:$EA$20,MATCH(X$109,$BI$15:$EA$15,0)),"")</f>
        <v/>
      </c>
      <c r="BH114" t="inlineStr">
        <is>
          <t>Chevy Suburban</t>
        </is>
      </c>
      <c r="BI114" t="n">
        <v>0.2193</v>
      </c>
      <c r="BJ114" t="n">
        <v>0.2168</v>
      </c>
      <c r="BK114" t="n">
        <v>0.0639</v>
      </c>
      <c r="BL114" t="n">
        <v>0.0223</v>
      </c>
      <c r="BM114" t="n">
        <v>0.0939</v>
      </c>
      <c r="BN114" t="n">
        <v>0.0005999999999999999</v>
      </c>
      <c r="BO114" t="n">
        <v>0.024</v>
      </c>
      <c r="BP114" t="n">
        <v>0.0027</v>
      </c>
      <c r="BQ114" t="n">
        <v>0</v>
      </c>
    </row>
    <row r="115">
      <c r="N115" t="n">
        <v>20000</v>
      </c>
      <c r="O115">
        <f>IFERROR(INDEX($BI$21:$EA$21,MATCH(O$109,$BI$15:$EA$15,0)),"")</f>
        <v/>
      </c>
      <c r="P115">
        <f>IFERROR(INDEX($BI$21:$EA$21,MATCH(P$109,$BI$15:$EA$15,0)),"")</f>
        <v/>
      </c>
      <c r="Q115">
        <f>IFERROR(INDEX($BI$21:$EA$21,MATCH(Q$109,$BI$15:$EA$15,0)),"")</f>
        <v/>
      </c>
      <c r="R115">
        <f>IFERROR(INDEX($BI$21:$EA$21,MATCH(R$109,$BI$15:$EA$15,0)),"")</f>
        <v/>
      </c>
      <c r="S115">
        <f>IFERROR(INDEX($BI$21:$EA$21,MATCH(S$109,$BI$15:$EA$15,0)),"")</f>
        <v/>
      </c>
      <c r="T115">
        <f>IFERROR(INDEX($BI$21:$EA$21,MATCH(T$109,$BI$15:$EA$15,0)),"")</f>
        <v/>
      </c>
      <c r="U115">
        <f>IFERROR(INDEX($BI$21:$EA$21,MATCH(U$109,$BI$15:$EA$15,0)),"")</f>
        <v/>
      </c>
      <c r="V115">
        <f>IFERROR(INDEX($BI$21:$EA$21,MATCH(V$109,$BI$15:$EA$15,0)),"")</f>
        <v/>
      </c>
      <c r="W115">
        <f>IFERROR(INDEX($BI$21:$EA$21,MATCH(W$109,$BI$15:$EA$15,0)),"")</f>
        <v/>
      </c>
      <c r="X115">
        <f>IFERROR(INDEX($BI$21:$EA$21,MATCH(X$109,$BI$15:$EA$15,0)),"")</f>
        <v/>
      </c>
      <c r="BH115" t="inlineStr">
        <is>
          <t>Volvo XC90</t>
        </is>
      </c>
      <c r="BI115" t="n">
        <v>0.2352</v>
      </c>
      <c r="BJ115" t="n">
        <v>0.1822</v>
      </c>
      <c r="BK115" t="n">
        <v>0.1125</v>
      </c>
      <c r="BL115" t="n">
        <v>0.0456</v>
      </c>
      <c r="BM115" t="n">
        <v>0.1086</v>
      </c>
      <c r="BN115" t="n">
        <v>0.0005999999999999999</v>
      </c>
      <c r="BO115" t="n">
        <v>0.024</v>
      </c>
      <c r="BP115" t="n">
        <v>0.0031</v>
      </c>
      <c r="BQ115" t="n">
        <v>0</v>
      </c>
    </row>
    <row r="116">
      <c r="N116" t="n">
        <v>25000</v>
      </c>
      <c r="O116">
        <f>IFERROR(INDEX($BI$22:$EA$22,MATCH(O$109,$BI$15:$EA$15,0)),"")</f>
        <v/>
      </c>
      <c r="P116">
        <f>IFERROR(INDEX($BI$22:$EA$22,MATCH(P$109,$BI$15:$EA$15,0)),"")</f>
        <v/>
      </c>
      <c r="Q116">
        <f>IFERROR(INDEX($BI$22:$EA$22,MATCH(Q$109,$BI$15:$EA$15,0)),"")</f>
        <v/>
      </c>
      <c r="R116">
        <f>IFERROR(INDEX($BI$22:$EA$22,MATCH(R$109,$BI$15:$EA$15,0)),"")</f>
        <v/>
      </c>
      <c r="S116">
        <f>IFERROR(INDEX($BI$22:$EA$22,MATCH(S$109,$BI$15:$EA$15,0)),"")</f>
        <v/>
      </c>
      <c r="T116">
        <f>IFERROR(INDEX($BI$22:$EA$22,MATCH(T$109,$BI$15:$EA$15,0)),"")</f>
        <v/>
      </c>
      <c r="U116">
        <f>IFERROR(INDEX($BI$22:$EA$22,MATCH(U$109,$BI$15:$EA$15,0)),"")</f>
        <v/>
      </c>
      <c r="V116">
        <f>IFERROR(INDEX($BI$22:$EA$22,MATCH(V$109,$BI$15:$EA$15,0)),"")</f>
        <v/>
      </c>
      <c r="W116">
        <f>IFERROR(INDEX($BI$22:$EA$22,MATCH(W$109,$BI$15:$EA$15,0)),"")</f>
        <v/>
      </c>
      <c r="X116">
        <f>IFERROR(INDEX($BI$22:$EA$22,MATCH(X$109,$BI$15:$EA$15,0)),"")</f>
        <v/>
      </c>
      <c r="BH116" t="inlineStr">
        <is>
          <t>Porsche 996 Carrera</t>
        </is>
      </c>
      <c r="BI116" t="n">
        <v>0.2568</v>
      </c>
      <c r="BJ116" t="n">
        <v>0.2406</v>
      </c>
      <c r="BK116" t="n">
        <v>0.2168</v>
      </c>
      <c r="BL116" t="n">
        <v>0.0075</v>
      </c>
      <c r="BM116" t="n">
        <v>0.1134</v>
      </c>
      <c r="BN116" t="n">
        <v>0.0007</v>
      </c>
      <c r="BO116" t="n">
        <v>0.05</v>
      </c>
      <c r="BP116" t="n">
        <v>0.0035</v>
      </c>
      <c r="BQ116" t="n">
        <v>0</v>
      </c>
    </row>
    <row r="117">
      <c r="BH117" t="inlineStr">
        <is>
          <t>Porsche 996 Turbo</t>
        </is>
      </c>
      <c r="BI117" t="n">
        <v>0.3989</v>
      </c>
      <c r="BJ117" t="n">
        <v>0.2689</v>
      </c>
      <c r="BK117" t="n">
        <v>0.2484</v>
      </c>
      <c r="BL117" t="n">
        <v>0.0075</v>
      </c>
      <c r="BM117" t="n">
        <v>0.1238</v>
      </c>
      <c r="BN117" t="n">
        <v>0.0007</v>
      </c>
      <c r="BO117" t="n">
        <v>0.05</v>
      </c>
      <c r="BP117" t="n">
        <v>0.0035</v>
      </c>
      <c r="BQ117" t="n">
        <v>0</v>
      </c>
    </row>
    <row r="118">
      <c r="BH118" t="inlineStr">
        <is>
          <t>x</t>
        </is>
      </c>
      <c r="BI118" t="inlineStr">
        <is>
          <t>Chevy Bolt EV</t>
        </is>
      </c>
      <c r="BJ118" t="inlineStr">
        <is>
          <t>Chevy Volt</t>
        </is>
      </c>
      <c r="BK118" t="inlineStr">
        <is>
          <t>Toyota Prius (hybrid)</t>
        </is>
      </c>
      <c r="BL118" t="inlineStr">
        <is>
          <t>Toyota Prius Prime</t>
        </is>
      </c>
      <c r="BM118" t="inlineStr">
        <is>
          <t>Toyota Corolla</t>
        </is>
      </c>
      <c r="BN118" t="inlineStr">
        <is>
          <t>Toyota Camry Hybrid</t>
        </is>
      </c>
      <c r="BO118" t="inlineStr">
        <is>
          <t>Honda Civic</t>
        </is>
      </c>
      <c r="BP118" t="inlineStr">
        <is>
          <t>Nissan Leaf</t>
        </is>
      </c>
      <c r="BQ118" t="inlineStr">
        <is>
          <t>Hyundai Elantra</t>
        </is>
      </c>
      <c r="BR118" t="inlineStr">
        <is>
          <t>Honda Accord</t>
        </is>
      </c>
      <c r="BS118" t="inlineStr">
        <is>
          <t>Kia K4</t>
        </is>
      </c>
      <c r="BT118" t="inlineStr">
        <is>
          <t>Mazda3 (SkyActiv)</t>
        </is>
      </c>
      <c r="BU118" t="inlineStr">
        <is>
          <t>Toyota Camry</t>
        </is>
      </c>
      <c r="BV118" t="inlineStr">
        <is>
          <t>Toyota RAV4 Hybrid</t>
        </is>
      </c>
      <c r="BW118" t="inlineStr">
        <is>
          <t>Kia Niro (hybrid)</t>
        </is>
      </c>
      <c r="BX118" t="inlineStr">
        <is>
          <t>Tesla Model 3</t>
        </is>
      </c>
      <c r="BY118" t="inlineStr">
        <is>
          <t>Hyundai Sonata</t>
        </is>
      </c>
      <c r="BZ118" t="inlineStr">
        <is>
          <t>Toyota RAV4</t>
        </is>
      </c>
      <c r="CA118" t="inlineStr">
        <is>
          <t>Fiat 500</t>
        </is>
      </c>
      <c r="CB118" t="inlineStr">
        <is>
          <t>Honda CR-V</t>
        </is>
      </c>
      <c r="CC118" t="inlineStr">
        <is>
          <t>VW ID.4 (AWD avail)</t>
        </is>
      </c>
      <c r="CD118" t="inlineStr">
        <is>
          <t>Toyota RAV4 Prime</t>
        </is>
      </c>
      <c r="CE118" t="inlineStr">
        <is>
          <t>Kia Soul</t>
        </is>
      </c>
      <c r="CF118" t="inlineStr">
        <is>
          <t>VW Passat</t>
        </is>
      </c>
      <c r="CG118" t="inlineStr">
        <is>
          <t>Buick Encore</t>
        </is>
      </c>
      <c r="CH118" t="inlineStr">
        <is>
          <t>Hyundai Kona</t>
        </is>
      </c>
      <c r="CI118" t="inlineStr">
        <is>
          <t>Mazda CX-5</t>
        </is>
      </c>
      <c r="CJ118" t="inlineStr">
        <is>
          <t>Toyota Highlander Hybrid</t>
        </is>
      </c>
      <c r="CK118" t="inlineStr">
        <is>
          <t>Subaru Outback</t>
        </is>
      </c>
      <c r="CL118" t="inlineStr">
        <is>
          <t>Subaru Forester</t>
        </is>
      </c>
      <c r="CM118" t="inlineStr">
        <is>
          <t>Toyota Sienna Hybrid</t>
        </is>
      </c>
      <c r="CN118" t="inlineStr">
        <is>
          <t>Toyota Tacoma</t>
        </is>
      </c>
      <c r="CO118" t="inlineStr">
        <is>
          <t>Nissan Rogue</t>
        </is>
      </c>
      <c r="CP118" t="inlineStr">
        <is>
          <t>Chevy Equinox</t>
        </is>
      </c>
      <c r="CQ118" t="inlineStr">
        <is>
          <t>Toyota Sienna (V6)</t>
        </is>
      </c>
      <c r="CR118" t="inlineStr">
        <is>
          <t>Mini Cooper</t>
        </is>
      </c>
      <c r="CS118" t="inlineStr">
        <is>
          <t>Ford Ranger (old compact)</t>
        </is>
      </c>
      <c r="CT118" t="inlineStr">
        <is>
          <t>Fiat 500X</t>
        </is>
      </c>
      <c r="CU118" t="inlineStr">
        <is>
          <t>VW GTI</t>
        </is>
      </c>
      <c r="CV118" t="inlineStr">
        <is>
          <t>Kia Sportage</t>
        </is>
      </c>
      <c r="CW118" t="inlineStr">
        <is>
          <t>Ford Escape</t>
        </is>
      </c>
      <c r="CX118" t="inlineStr">
        <is>
          <t>Toyota Highlander</t>
        </is>
      </c>
      <c r="CY118" t="inlineStr">
        <is>
          <t>Hyundai Tucson</t>
        </is>
      </c>
      <c r="CZ118" t="inlineStr">
        <is>
          <t>Toyota 4Runner</t>
        </is>
      </c>
      <c r="DA118" t="inlineStr">
        <is>
          <t>Honda Odyssey</t>
        </is>
      </c>
      <c r="DB118" t="inlineStr">
        <is>
          <t>Kia Sorento</t>
        </is>
      </c>
      <c r="DC118" t="inlineStr">
        <is>
          <t>Hyundai Santa Fe</t>
        </is>
      </c>
      <c r="DD118" t="inlineStr">
        <is>
          <t>VW Tiguan</t>
        </is>
      </c>
      <c r="DE118" t="inlineStr">
        <is>
          <t>Chrysler Pacifica PHEV</t>
        </is>
      </c>
      <c r="DF118" t="inlineStr">
        <is>
          <t>Subaru Ascent</t>
        </is>
      </c>
      <c r="DG118" t="inlineStr">
        <is>
          <t>Ford Ranger (2019+ midsize)</t>
        </is>
      </c>
      <c r="DH118" t="inlineStr">
        <is>
          <t>Honda Pilot</t>
        </is>
      </c>
      <c r="DI118" t="inlineStr">
        <is>
          <t>Mini Countryman</t>
        </is>
      </c>
      <c r="DJ118" t="inlineStr">
        <is>
          <t>Toyota Sequoia</t>
        </is>
      </c>
      <c r="DK118" t="inlineStr">
        <is>
          <t>Hyundai Palisade</t>
        </is>
      </c>
      <c r="DL118" t="inlineStr">
        <is>
          <t>Chrysler Pacifica</t>
        </is>
      </c>
      <c r="DM118" t="inlineStr">
        <is>
          <t>Chevy Colorado</t>
        </is>
      </c>
      <c r="DN118" t="inlineStr">
        <is>
          <t>Kia Telluride</t>
        </is>
      </c>
      <c r="DO118" t="inlineStr">
        <is>
          <t>Mazda CX-90</t>
        </is>
      </c>
      <c r="DP118" t="inlineStr">
        <is>
          <t>Chevy Traverse</t>
        </is>
      </c>
      <c r="DQ118" t="inlineStr">
        <is>
          <t>VW Atlas</t>
        </is>
      </c>
      <c r="DR118" t="inlineStr">
        <is>
          <t>Ford Explorer</t>
        </is>
      </c>
      <c r="DS118" t="inlineStr">
        <is>
          <t>Buick Enclave</t>
        </is>
      </c>
      <c r="DT118" t="inlineStr">
        <is>
          <t>Volvo XC60</t>
        </is>
      </c>
      <c r="DU118" t="inlineStr">
        <is>
          <t>Chevy Tahoe</t>
        </is>
      </c>
      <c r="DV118" t="inlineStr">
        <is>
          <t>Jeep Grand Cherokee L</t>
        </is>
      </c>
      <c r="DW118" t="inlineStr">
        <is>
          <t>Volvo V90 Cross Country</t>
        </is>
      </c>
      <c r="DX118" t="inlineStr">
        <is>
          <t>Chevy Suburban</t>
        </is>
      </c>
      <c r="DY118" t="inlineStr">
        <is>
          <t>Volvo XC90</t>
        </is>
      </c>
      <c r="DZ118" t="inlineStr">
        <is>
          <t>Porsche 996 Carrera</t>
        </is>
      </c>
      <c r="EA118" t="inlineStr">
        <is>
          <t>Porsche 996 Turbo</t>
        </is>
      </c>
    </row>
    <row r="119">
      <c r="BH119" t="n">
        <v>0.03</v>
      </c>
      <c r="BI119" t="n">
        <v>0.3619</v>
      </c>
      <c r="BJ119" t="n">
        <v>0.3803</v>
      </c>
      <c r="BK119" t="n">
        <v>0.4153</v>
      </c>
      <c r="BL119" t="n">
        <v>0.4147</v>
      </c>
      <c r="BM119" t="n">
        <v>0.4429</v>
      </c>
      <c r="BN119" t="n">
        <v>0.43</v>
      </c>
      <c r="BO119" t="n">
        <v>0.4585</v>
      </c>
      <c r="BP119" t="n">
        <v>0.4221</v>
      </c>
      <c r="BQ119" t="n">
        <v>0.4533</v>
      </c>
      <c r="BR119" t="n">
        <v>0.454</v>
      </c>
      <c r="BS119" t="n">
        <v>0.4653</v>
      </c>
      <c r="BT119" t="n">
        <v>0.4523</v>
      </c>
      <c r="BU119" t="n">
        <v>0.4781</v>
      </c>
      <c r="BV119" t="n">
        <v>0.4627</v>
      </c>
      <c r="BW119" t="n">
        <v>0.4605</v>
      </c>
      <c r="BX119" t="n">
        <v>0.4837</v>
      </c>
      <c r="BY119" t="n">
        <v>0.4822</v>
      </c>
      <c r="BZ119" t="n">
        <v>0.4964</v>
      </c>
      <c r="CA119" t="n">
        <v>0.5042</v>
      </c>
      <c r="CB119" t="n">
        <v>0.507</v>
      </c>
      <c r="CC119" t="n">
        <v>0.4966</v>
      </c>
      <c r="CD119" t="n">
        <v>0.489</v>
      </c>
      <c r="CE119" t="n">
        <v>0.496</v>
      </c>
      <c r="CF119" t="n">
        <v>0.5153</v>
      </c>
      <c r="CG119" t="n">
        <v>0.51</v>
      </c>
      <c r="CH119" t="n">
        <v>0.5108</v>
      </c>
      <c r="CI119" t="n">
        <v>0.5237000000000001</v>
      </c>
      <c r="CJ119" t="n">
        <v>0.5401</v>
      </c>
      <c r="CK119" t="n">
        <v>0.5338000000000001</v>
      </c>
      <c r="CL119" t="n">
        <v>0.5347</v>
      </c>
      <c r="CM119" t="n">
        <v>0.5458</v>
      </c>
      <c r="CN119" t="n">
        <v>0.5728</v>
      </c>
      <c r="CO119" t="n">
        <v>0.5391</v>
      </c>
      <c r="CP119" t="n">
        <v>0.5476</v>
      </c>
      <c r="CQ119" t="n">
        <v>0.5876</v>
      </c>
      <c r="CR119" t="n">
        <v>0.5613</v>
      </c>
      <c r="CS119" t="n">
        <v>0.5955</v>
      </c>
      <c r="CT119" t="n">
        <v>0.5599</v>
      </c>
      <c r="CU119" t="n">
        <v>0.5773</v>
      </c>
      <c r="CV119" t="n">
        <v>0.5602</v>
      </c>
      <c r="CW119" t="n">
        <v>0.5588</v>
      </c>
      <c r="CX119" t="n">
        <v>0.5881999999999999</v>
      </c>
      <c r="CY119" t="n">
        <v>0.5772</v>
      </c>
      <c r="CZ119" t="n">
        <v>0.6333</v>
      </c>
      <c r="DA119" t="n">
        <v>0.6065</v>
      </c>
      <c r="DB119" t="n">
        <v>0.5923</v>
      </c>
      <c r="DC119" t="n">
        <v>0.5832000000000001</v>
      </c>
      <c r="DD119" t="n">
        <v>0.6031</v>
      </c>
      <c r="DE119" t="n">
        <v>0.5923</v>
      </c>
      <c r="DF119" t="n">
        <v>0.6057</v>
      </c>
      <c r="DG119" t="n">
        <v>0.6216</v>
      </c>
      <c r="DH119" t="n">
        <v>0.6212</v>
      </c>
      <c r="DI119" t="n">
        <v>0.6213</v>
      </c>
      <c r="DJ119" t="n">
        <v>0.6791</v>
      </c>
      <c r="DK119" t="n">
        <v>0.6399</v>
      </c>
      <c r="DL119" t="n">
        <v>0.6269</v>
      </c>
      <c r="DM119" t="n">
        <v>0.6502</v>
      </c>
      <c r="DN119" t="n">
        <v>0.6447000000000001</v>
      </c>
      <c r="DO119" t="n">
        <v>0.6659</v>
      </c>
      <c r="DP119" t="n">
        <v>0.6503</v>
      </c>
      <c r="DQ119" t="n">
        <v>0.666</v>
      </c>
      <c r="DR119" t="n">
        <v>0.6571</v>
      </c>
      <c r="DS119" t="n">
        <v>0.6594</v>
      </c>
      <c r="DT119" t="n">
        <v>0.7058</v>
      </c>
      <c r="DU119" t="n">
        <v>0.7341</v>
      </c>
      <c r="DV119" t="n">
        <v>0.7058</v>
      </c>
      <c r="DW119" t="n">
        <v>0.7231</v>
      </c>
      <c r="DX119" t="n">
        <v>0.7475000000000001</v>
      </c>
      <c r="DY119" t="n">
        <v>0.7925</v>
      </c>
      <c r="DZ119" t="n">
        <v>0.8758</v>
      </c>
      <c r="EA119" t="n">
        <v>1.0533</v>
      </c>
    </row>
    <row r="120">
      <c r="BH120" t="n">
        <v>0.04</v>
      </c>
      <c r="BI120" t="n">
        <v>0.3515</v>
      </c>
      <c r="BJ120" t="n">
        <v>0.3691</v>
      </c>
      <c r="BK120" t="n">
        <v>0.3973</v>
      </c>
      <c r="BL120" t="n">
        <v>0.4017</v>
      </c>
      <c r="BM120" t="n">
        <v>0.4218</v>
      </c>
      <c r="BN120" t="n">
        <v>0.4129</v>
      </c>
      <c r="BO120" t="n">
        <v>0.4377</v>
      </c>
      <c r="BP120" t="n">
        <v>0.4143</v>
      </c>
      <c r="BQ120" t="n">
        <v>0.436</v>
      </c>
      <c r="BR120" t="n">
        <v>0.4355</v>
      </c>
      <c r="BS120" t="n">
        <v>0.4462</v>
      </c>
      <c r="BT120" t="n">
        <v>0.4371</v>
      </c>
      <c r="BU120" t="n">
        <v>0.4551</v>
      </c>
      <c r="BV120" t="n">
        <v>0.4444</v>
      </c>
      <c r="BW120" t="n">
        <v>0.4454</v>
      </c>
      <c r="BX120" t="n">
        <v>0.4656</v>
      </c>
      <c r="BY120" t="n">
        <v>0.4667</v>
      </c>
      <c r="BZ120" t="n">
        <v>0.479</v>
      </c>
      <c r="CA120" t="n">
        <v>0.4871</v>
      </c>
      <c r="CB120" t="n">
        <v>0.4877</v>
      </c>
      <c r="CC120" t="n">
        <v>0.4817</v>
      </c>
      <c r="CD120" t="n">
        <v>0.4759</v>
      </c>
      <c r="CE120" t="n">
        <v>0.4815</v>
      </c>
      <c r="CF120" t="n">
        <v>0.4976</v>
      </c>
      <c r="CG120" t="n">
        <v>0.4947</v>
      </c>
      <c r="CH120" t="n">
        <v>0.4964</v>
      </c>
      <c r="CI120" t="n">
        <v>0.5066000000000001</v>
      </c>
      <c r="CJ120" t="n">
        <v>0.5208</v>
      </c>
      <c r="CK120" t="n">
        <v>0.5177</v>
      </c>
      <c r="CL120" t="n">
        <v>0.5181</v>
      </c>
      <c r="CM120" t="n">
        <v>0.5242</v>
      </c>
      <c r="CN120" t="n">
        <v>0.5459000000000001</v>
      </c>
      <c r="CO120" t="n">
        <v>0.526</v>
      </c>
      <c r="CP120" t="n">
        <v>0.5325</v>
      </c>
      <c r="CQ120" t="n">
        <v>0.5612</v>
      </c>
      <c r="CR120" t="n">
        <v>0.5434</v>
      </c>
      <c r="CS120" t="n">
        <v>0.5687</v>
      </c>
      <c r="CT120" t="n">
        <v>0.5451</v>
      </c>
      <c r="CU120" t="n">
        <v>0.5582</v>
      </c>
      <c r="CV120" t="n">
        <v>0.5463</v>
      </c>
      <c r="CW120" t="n">
        <v>0.5454</v>
      </c>
      <c r="CX120" t="n">
        <v>0.5674</v>
      </c>
      <c r="CY120" t="n">
        <v>0.5629</v>
      </c>
      <c r="CZ120" t="n">
        <v>0.6008</v>
      </c>
      <c r="DA120" t="n">
        <v>0.5844</v>
      </c>
      <c r="DB120" t="n">
        <v>0.5747</v>
      </c>
      <c r="DC120" t="n">
        <v>0.5687</v>
      </c>
      <c r="DD120" t="n">
        <v>0.5837</v>
      </c>
      <c r="DE120" t="n">
        <v>0.5790999999999999</v>
      </c>
      <c r="DF120" t="n">
        <v>0.5894</v>
      </c>
      <c r="DG120" t="n">
        <v>0.6021</v>
      </c>
      <c r="DH120" t="n">
        <v>0.6018</v>
      </c>
      <c r="DI120" t="n">
        <v>0.6034</v>
      </c>
      <c r="DJ120" t="n">
        <v>0.6435</v>
      </c>
      <c r="DK120" t="n">
        <v>0.6194</v>
      </c>
      <c r="DL120" t="n">
        <v>0.6124000000000001</v>
      </c>
      <c r="DM120" t="n">
        <v>0.6292</v>
      </c>
      <c r="DN120" t="n">
        <v>0.6252</v>
      </c>
      <c r="DO120" t="n">
        <v>0.6424</v>
      </c>
      <c r="DP120" t="n">
        <v>0.6336000000000001</v>
      </c>
      <c r="DQ120" t="n">
        <v>0.6459</v>
      </c>
      <c r="DR120" t="n">
        <v>0.6407</v>
      </c>
      <c r="DS120" t="n">
        <v>0.6456</v>
      </c>
      <c r="DT120" t="n">
        <v>0.6830000000000001</v>
      </c>
      <c r="DU120" t="n">
        <v>0.705</v>
      </c>
      <c r="DV120" t="n">
        <v>0.6868</v>
      </c>
      <c r="DW120" t="n">
        <v>0.7014</v>
      </c>
      <c r="DX120" t="n">
        <v>0.7177</v>
      </c>
      <c r="DY120" t="n">
        <v>0.7703</v>
      </c>
      <c r="DZ120" t="n">
        <v>0.8799</v>
      </c>
      <c r="EA120" t="n">
        <v>1.067</v>
      </c>
    </row>
    <row r="121">
      <c r="BH121" t="n">
        <v>0.05</v>
      </c>
      <c r="BI121" t="n">
        <v>0.3417</v>
      </c>
      <c r="BJ121" t="n">
        <v>0.3587</v>
      </c>
      <c r="BK121" t="n">
        <v>0.381</v>
      </c>
      <c r="BL121" t="n">
        <v>0.3895</v>
      </c>
      <c r="BM121" t="n">
        <v>0.4027</v>
      </c>
      <c r="BN121" t="n">
        <v>0.3973</v>
      </c>
      <c r="BO121" t="n">
        <v>0.419</v>
      </c>
      <c r="BP121" t="n">
        <v>0.4069</v>
      </c>
      <c r="BQ121" t="n">
        <v>0.4201</v>
      </c>
      <c r="BR121" t="n">
        <v>0.4186</v>
      </c>
      <c r="BS121" t="n">
        <v>0.4287</v>
      </c>
      <c r="BT121" t="n">
        <v>0.4229</v>
      </c>
      <c r="BU121" t="n">
        <v>0.4344</v>
      </c>
      <c r="BV121" t="n">
        <v>0.4278</v>
      </c>
      <c r="BW121" t="n">
        <v>0.4314</v>
      </c>
      <c r="BX121" t="n">
        <v>0.449</v>
      </c>
      <c r="BY121" t="n">
        <v>0.4523</v>
      </c>
      <c r="BZ121" t="n">
        <v>0.4628</v>
      </c>
      <c r="CA121" t="n">
        <v>0.4711</v>
      </c>
      <c r="CB121" t="n">
        <v>0.4699</v>
      </c>
      <c r="CC121" t="n">
        <v>0.4678</v>
      </c>
      <c r="CD121" t="n">
        <v>0.4637</v>
      </c>
      <c r="CE121" t="n">
        <v>0.4679</v>
      </c>
      <c r="CF121" t="n">
        <v>0.4811</v>
      </c>
      <c r="CG121" t="n">
        <v>0.4803</v>
      </c>
      <c r="CH121" t="n">
        <v>0.4829</v>
      </c>
      <c r="CI121" t="n">
        <v>0.4908</v>
      </c>
      <c r="CJ121" t="n">
        <v>0.5032</v>
      </c>
      <c r="CK121" t="n">
        <v>0.5028</v>
      </c>
      <c r="CL121" t="n">
        <v>0.5028</v>
      </c>
      <c r="CM121" t="n">
        <v>0.5046</v>
      </c>
      <c r="CN121" t="n">
        <v>0.5216</v>
      </c>
      <c r="CO121" t="n">
        <v>0.5137</v>
      </c>
      <c r="CP121" t="n">
        <v>0.5184</v>
      </c>
      <c r="CQ121" t="n">
        <v>0.5372</v>
      </c>
      <c r="CR121" t="n">
        <v>0.5266999999999999</v>
      </c>
      <c r="CS121" t="n">
        <v>0.544</v>
      </c>
      <c r="CT121" t="n">
        <v>0.5312</v>
      </c>
      <c r="CU121" t="n">
        <v>0.5404</v>
      </c>
      <c r="CV121" t="n">
        <v>0.5331</v>
      </c>
      <c r="CW121" t="n">
        <v>0.5328000000000001</v>
      </c>
      <c r="CX121" t="n">
        <v>0.5483</v>
      </c>
      <c r="CY121" t="n">
        <v>0.5495</v>
      </c>
      <c r="CZ121" t="n">
        <v>0.5717</v>
      </c>
      <c r="DA121" t="n">
        <v>0.5641</v>
      </c>
      <c r="DB121" t="n">
        <v>0.5583</v>
      </c>
      <c r="DC121" t="n">
        <v>0.5551</v>
      </c>
      <c r="DD121" t="n">
        <v>0.5656</v>
      </c>
      <c r="DE121" t="n">
        <v>0.5666</v>
      </c>
      <c r="DF121" t="n">
        <v>0.5743</v>
      </c>
      <c r="DG121" t="n">
        <v>0.5839</v>
      </c>
      <c r="DH121" t="n">
        <v>0.5836</v>
      </c>
      <c r="DI121" t="n">
        <v>0.5867</v>
      </c>
      <c r="DJ121" t="n">
        <v>0.6116</v>
      </c>
      <c r="DK121" t="n">
        <v>0.6005</v>
      </c>
      <c r="DL121" t="n">
        <v>0.5987</v>
      </c>
      <c r="DM121" t="n">
        <v>0.6096</v>
      </c>
      <c r="DN121" t="n">
        <v>0.6071</v>
      </c>
      <c r="DO121" t="n">
        <v>0.6209</v>
      </c>
      <c r="DP121" t="n">
        <v>0.6179</v>
      </c>
      <c r="DQ121" t="n">
        <v>0.6271</v>
      </c>
      <c r="DR121" t="n">
        <v>0.6253</v>
      </c>
      <c r="DS121" t="n">
        <v>0.6325</v>
      </c>
      <c r="DT121" t="n">
        <v>0.6618000000000001</v>
      </c>
      <c r="DU121" t="n">
        <v>0.6784</v>
      </c>
      <c r="DV121" t="n">
        <v>0.669</v>
      </c>
      <c r="DW121" t="n">
        <v>0.6811</v>
      </c>
      <c r="DX121" t="n">
        <v>0.6907</v>
      </c>
      <c r="DY121" t="n">
        <v>0.7495000000000001</v>
      </c>
      <c r="DZ121" t="n">
        <v>0.8835</v>
      </c>
      <c r="EA121" t="n">
        <v>1.0796</v>
      </c>
    </row>
    <row r="122">
      <c r="BH122" t="n">
        <v>0.06</v>
      </c>
      <c r="BI122" t="n">
        <v>0.3326</v>
      </c>
      <c r="BJ122" t="n">
        <v>0.349</v>
      </c>
      <c r="BK122" t="n">
        <v>0.3662</v>
      </c>
      <c r="BL122" t="n">
        <v>0.3783</v>
      </c>
      <c r="BM122" t="n">
        <v>0.3853</v>
      </c>
      <c r="BN122" t="n">
        <v>0.3829</v>
      </c>
      <c r="BO122" t="n">
        <v>0.402</v>
      </c>
      <c r="BP122" t="n">
        <v>0.3998</v>
      </c>
      <c r="BQ122" t="n">
        <v>0.4055</v>
      </c>
      <c r="BR122" t="n">
        <v>0.403</v>
      </c>
      <c r="BS122" t="n">
        <v>0.4127</v>
      </c>
      <c r="BT122" t="n">
        <v>0.4098</v>
      </c>
      <c r="BU122" t="n">
        <v>0.4156</v>
      </c>
      <c r="BV122" t="n">
        <v>0.4127</v>
      </c>
      <c r="BW122" t="n">
        <v>0.4184</v>
      </c>
      <c r="BX122" t="n">
        <v>0.4337</v>
      </c>
      <c r="BY122" t="n">
        <v>0.4388</v>
      </c>
      <c r="BZ122" t="n">
        <v>0.4479</v>
      </c>
      <c r="CA122" t="n">
        <v>0.4562</v>
      </c>
      <c r="CB122" t="n">
        <v>0.4536</v>
      </c>
      <c r="CC122" t="n">
        <v>0.4548</v>
      </c>
      <c r="CD122" t="n">
        <v>0.4524</v>
      </c>
      <c r="CE122" t="n">
        <v>0.4552</v>
      </c>
      <c r="CF122" t="n">
        <v>0.4657</v>
      </c>
      <c r="CG122" t="n">
        <v>0.4669</v>
      </c>
      <c r="CH122" t="n">
        <v>0.4703</v>
      </c>
      <c r="CI122" t="n">
        <v>0.4761</v>
      </c>
      <c r="CJ122" t="n">
        <v>0.4871</v>
      </c>
      <c r="CK122" t="n">
        <v>0.4887</v>
      </c>
      <c r="CL122" t="n">
        <v>0.4884</v>
      </c>
      <c r="CM122" t="n">
        <v>0.4869</v>
      </c>
      <c r="CN122" t="n">
        <v>0.4997</v>
      </c>
      <c r="CO122" t="n">
        <v>0.502</v>
      </c>
      <c r="CP122" t="n">
        <v>0.5051</v>
      </c>
      <c r="CQ122" t="n">
        <v>0.5152</v>
      </c>
      <c r="CR122" t="n">
        <v>0.5111</v>
      </c>
      <c r="CS122" t="n">
        <v>0.5213</v>
      </c>
      <c r="CT122" t="n">
        <v>0.518</v>
      </c>
      <c r="CU122" t="n">
        <v>0.5239</v>
      </c>
      <c r="CV122" t="n">
        <v>0.5207000000000001</v>
      </c>
      <c r="CW122" t="n">
        <v>0.5208</v>
      </c>
      <c r="CX122" t="n">
        <v>0.5306999999999999</v>
      </c>
      <c r="CY122" t="n">
        <v>0.5368000000000001</v>
      </c>
      <c r="CZ122" t="n">
        <v>0.5457</v>
      </c>
      <c r="DA122" t="n">
        <v>0.5452</v>
      </c>
      <c r="DB122" t="n">
        <v>0.543</v>
      </c>
      <c r="DC122" t="n">
        <v>0.5421</v>
      </c>
      <c r="DD122" t="n">
        <v>0.5487</v>
      </c>
      <c r="DE122" t="n">
        <v>0.5548</v>
      </c>
      <c r="DF122" t="n">
        <v>0.5600000000000001</v>
      </c>
      <c r="DG122" t="n">
        <v>0.5669</v>
      </c>
      <c r="DH122" t="n">
        <v>0.5667</v>
      </c>
      <c r="DI122" t="n">
        <v>0.5709</v>
      </c>
      <c r="DJ122" t="n">
        <v>0.5829</v>
      </c>
      <c r="DK122" t="n">
        <v>0.5829</v>
      </c>
      <c r="DL122" t="n">
        <v>0.5856</v>
      </c>
      <c r="DM122" t="n">
        <v>0.5915</v>
      </c>
      <c r="DN122" t="n">
        <v>0.5903</v>
      </c>
      <c r="DO122" t="n">
        <v>0.6012</v>
      </c>
      <c r="DP122" t="n">
        <v>0.6031</v>
      </c>
      <c r="DQ122" t="n">
        <v>0.6096</v>
      </c>
      <c r="DR122" t="n">
        <v>0.6108</v>
      </c>
      <c r="DS122" t="n">
        <v>0.62</v>
      </c>
      <c r="DT122" t="n">
        <v>0.6421</v>
      </c>
      <c r="DU122" t="n">
        <v>0.6541</v>
      </c>
      <c r="DV122" t="n">
        <v>0.6523</v>
      </c>
      <c r="DW122" t="n">
        <v>0.6623</v>
      </c>
      <c r="DX122" t="n">
        <v>0.666</v>
      </c>
      <c r="DY122" t="n">
        <v>0.7301</v>
      </c>
      <c r="DZ122" t="n">
        <v>0.8866000000000001</v>
      </c>
      <c r="EA122" t="n">
        <v>1.0912</v>
      </c>
    </row>
    <row r="123">
      <c r="BH123" t="n">
        <v>0.07000000000000001</v>
      </c>
      <c r="BI123" t="n">
        <v>0.3241</v>
      </c>
      <c r="BJ123" t="n">
        <v>0.3399</v>
      </c>
      <c r="BK123" t="n">
        <v>0.3529</v>
      </c>
      <c r="BL123" t="n">
        <v>0.3677</v>
      </c>
      <c r="BM123" t="n">
        <v>0.3695</v>
      </c>
      <c r="BN123" t="n">
        <v>0.3696</v>
      </c>
      <c r="BO123" t="n">
        <v>0.3866</v>
      </c>
      <c r="BP123" t="n">
        <v>0.393</v>
      </c>
      <c r="BQ123" t="n">
        <v>0.3919</v>
      </c>
      <c r="BR123" t="n">
        <v>0.3886</v>
      </c>
      <c r="BS123" t="n">
        <v>0.398</v>
      </c>
      <c r="BT123" t="n">
        <v>0.3975</v>
      </c>
      <c r="BU123" t="n">
        <v>0.3987</v>
      </c>
      <c r="BV123" t="n">
        <v>0.399</v>
      </c>
      <c r="BW123" t="n">
        <v>0.4063</v>
      </c>
      <c r="BX123" t="n">
        <v>0.4196</v>
      </c>
      <c r="BY123" t="n">
        <v>0.4263</v>
      </c>
      <c r="BZ123" t="n">
        <v>0.4342</v>
      </c>
      <c r="CA123" t="n">
        <v>0.4422</v>
      </c>
      <c r="CB123" t="n">
        <v>0.4385</v>
      </c>
      <c r="CC123" t="n">
        <v>0.4427</v>
      </c>
      <c r="CD123" t="n">
        <v>0.4419</v>
      </c>
      <c r="CE123" t="n">
        <v>0.4432</v>
      </c>
      <c r="CF123" t="n">
        <v>0.4514</v>
      </c>
      <c r="CG123" t="n">
        <v>0.4542</v>
      </c>
      <c r="CH123" t="n">
        <v>0.4584</v>
      </c>
      <c r="CI123" t="n">
        <v>0.4624</v>
      </c>
      <c r="CJ123" t="n">
        <v>0.4723</v>
      </c>
      <c r="CK123" t="n">
        <v>0.4756</v>
      </c>
      <c r="CL123" t="n">
        <v>0.4751</v>
      </c>
      <c r="CM123" t="n">
        <v>0.4708</v>
      </c>
      <c r="CN123" t="n">
        <v>0.4799</v>
      </c>
      <c r="CO123" t="n">
        <v>0.4911</v>
      </c>
      <c r="CP123" t="n">
        <v>0.4926</v>
      </c>
      <c r="CQ123" t="n">
        <v>0.4952</v>
      </c>
      <c r="CR123" t="n">
        <v>0.4966</v>
      </c>
      <c r="CS123" t="n">
        <v>0.5003</v>
      </c>
      <c r="CT123" t="n">
        <v>0.5057</v>
      </c>
      <c r="CU123" t="n">
        <v>0.5084</v>
      </c>
      <c r="CV123" t="n">
        <v>0.509</v>
      </c>
      <c r="CW123" t="n">
        <v>0.5094</v>
      </c>
      <c r="CX123" t="n">
        <v>0.5143</v>
      </c>
      <c r="CY123" t="n">
        <v>0.5248</v>
      </c>
      <c r="CZ123" t="n">
        <v>0.5223</v>
      </c>
      <c r="DA123" t="n">
        <v>0.5276999999999999</v>
      </c>
      <c r="DB123" t="n">
        <v>0.5286</v>
      </c>
      <c r="DC123" t="n">
        <v>0.5299</v>
      </c>
      <c r="DD123" t="n">
        <v>0.5329</v>
      </c>
      <c r="DE123" t="n">
        <v>0.5437</v>
      </c>
      <c r="DF123" t="n">
        <v>0.5466</v>
      </c>
      <c r="DG123" t="n">
        <v>0.5511</v>
      </c>
      <c r="DH123" t="n">
        <v>0.551</v>
      </c>
      <c r="DI123" t="n">
        <v>0.5562</v>
      </c>
      <c r="DJ123" t="n">
        <v>0.5571</v>
      </c>
      <c r="DK123" t="n">
        <v>0.5667</v>
      </c>
      <c r="DL123" t="n">
        <v>0.5732</v>
      </c>
      <c r="DM123" t="n">
        <v>0.5745</v>
      </c>
      <c r="DN123" t="n">
        <v>0.5747</v>
      </c>
      <c r="DO123" t="n">
        <v>0.5832000000000001</v>
      </c>
      <c r="DP123" t="n">
        <v>0.5891</v>
      </c>
      <c r="DQ123" t="n">
        <v>0.5931</v>
      </c>
      <c r="DR123" t="n">
        <v>0.597</v>
      </c>
      <c r="DS123" t="n">
        <v>0.6081</v>
      </c>
      <c r="DT123" t="n">
        <v>0.6237</v>
      </c>
      <c r="DU123" t="n">
        <v>0.6318</v>
      </c>
      <c r="DV123" t="n">
        <v>0.6367</v>
      </c>
      <c r="DW123" t="n">
        <v>0.6447000000000001</v>
      </c>
      <c r="DX123" t="n">
        <v>0.6434</v>
      </c>
      <c r="DY123" t="n">
        <v>0.7119</v>
      </c>
      <c r="DZ123" t="n">
        <v>0.8893</v>
      </c>
      <c r="EA123" t="n">
        <v>1.1018</v>
      </c>
    </row>
    <row r="124">
      <c r="BH124" t="n">
        <v>0.08</v>
      </c>
      <c r="BI124" t="n">
        <v>0.3161</v>
      </c>
      <c r="BJ124" t="n">
        <v>0.3314</v>
      </c>
      <c r="BK124" t="n">
        <v>0.3407</v>
      </c>
      <c r="BL124" t="n">
        <v>0.3579</v>
      </c>
      <c r="BM124" t="n">
        <v>0.3551</v>
      </c>
      <c r="BN124" t="n">
        <v>0.3573</v>
      </c>
      <c r="BO124" t="n">
        <v>0.3726</v>
      </c>
      <c r="BP124" t="n">
        <v>0.3866</v>
      </c>
      <c r="BQ124" t="n">
        <v>0.3793</v>
      </c>
      <c r="BR124" t="n">
        <v>0.3753</v>
      </c>
      <c r="BS124" t="n">
        <v>0.3845</v>
      </c>
      <c r="BT124" t="n">
        <v>0.3861</v>
      </c>
      <c r="BU124" t="n">
        <v>0.3832</v>
      </c>
      <c r="BV124" t="n">
        <v>0.3866</v>
      </c>
      <c r="BW124" t="n">
        <v>0.395</v>
      </c>
      <c r="BX124" t="n">
        <v>0.4065</v>
      </c>
      <c r="BY124" t="n">
        <v>0.4145</v>
      </c>
      <c r="BZ124" t="n">
        <v>0.4214</v>
      </c>
      <c r="CA124" t="n">
        <v>0.4291</v>
      </c>
      <c r="CB124" t="n">
        <v>0.4246</v>
      </c>
      <c r="CC124" t="n">
        <v>0.4314</v>
      </c>
      <c r="CD124" t="n">
        <v>0.4321</v>
      </c>
      <c r="CE124" t="n">
        <v>0.4319</v>
      </c>
      <c r="CF124" t="n">
        <v>0.438</v>
      </c>
      <c r="CG124" t="n">
        <v>0.4424</v>
      </c>
      <c r="CH124" t="n">
        <v>0.4472</v>
      </c>
      <c r="CI124" t="n">
        <v>0.4497</v>
      </c>
      <c r="CJ124" t="n">
        <v>0.4587</v>
      </c>
      <c r="CK124" t="n">
        <v>0.4634</v>
      </c>
      <c r="CL124" t="n">
        <v>0.4627</v>
      </c>
      <c r="CM124" t="n">
        <v>0.4562</v>
      </c>
      <c r="CN124" t="n">
        <v>0.4619</v>
      </c>
      <c r="CO124" t="n">
        <v>0.4807</v>
      </c>
      <c r="CP124" t="n">
        <v>0.4808</v>
      </c>
      <c r="CQ124" t="n">
        <v>0.4769</v>
      </c>
      <c r="CR124" t="n">
        <v>0.483</v>
      </c>
      <c r="CS124" t="n">
        <v>0.481</v>
      </c>
      <c r="CT124" t="n">
        <v>0.494</v>
      </c>
      <c r="CU124" t="n">
        <v>0.494</v>
      </c>
      <c r="CV124" t="n">
        <v>0.4979</v>
      </c>
      <c r="CW124" t="n">
        <v>0.4987</v>
      </c>
      <c r="CX124" t="n">
        <v>0.4992</v>
      </c>
      <c r="CY124" t="n">
        <v>0.5135</v>
      </c>
      <c r="CZ124" t="n">
        <v>0.5013</v>
      </c>
      <c r="DA124" t="n">
        <v>0.5114</v>
      </c>
      <c r="DB124" t="n">
        <v>0.5151</v>
      </c>
      <c r="DC124" t="n">
        <v>0.5184</v>
      </c>
      <c r="DD124" t="n">
        <v>0.5182</v>
      </c>
      <c r="DE124" t="n">
        <v>0.5331</v>
      </c>
      <c r="DF124" t="n">
        <v>0.5341</v>
      </c>
      <c r="DG124" t="n">
        <v>0.5363</v>
      </c>
      <c r="DH124" t="n">
        <v>0.5363</v>
      </c>
      <c r="DI124" t="n">
        <v>0.5423</v>
      </c>
      <c r="DJ124" t="n">
        <v>0.5338000000000001</v>
      </c>
      <c r="DK124" t="n">
        <v>0.5516</v>
      </c>
      <c r="DL124" t="n">
        <v>0.5615</v>
      </c>
      <c r="DM124" t="n">
        <v>0.5587</v>
      </c>
      <c r="DN124" t="n">
        <v>0.5602</v>
      </c>
      <c r="DO124" t="n">
        <v>0.5666</v>
      </c>
      <c r="DP124" t="n">
        <v>0.5759</v>
      </c>
      <c r="DQ124" t="n">
        <v>0.5777</v>
      </c>
      <c r="DR124" t="n">
        <v>0.584</v>
      </c>
      <c r="DS124" t="n">
        <v>0.5968</v>
      </c>
      <c r="DT124" t="n">
        <v>0.6066</v>
      </c>
      <c r="DU124" t="n">
        <v>0.6115</v>
      </c>
      <c r="DV124" t="n">
        <v>0.622</v>
      </c>
      <c r="DW124" t="n">
        <v>0.6283</v>
      </c>
      <c r="DX124" t="n">
        <v>0.6227</v>
      </c>
      <c r="DY124" t="n">
        <v>0.6948</v>
      </c>
      <c r="DZ124" t="n">
        <v>0.8915999999999999</v>
      </c>
      <c r="EA124" t="n">
        <v>1.1114</v>
      </c>
    </row>
    <row r="125">
      <c r="BH125" t="n">
        <v>0.09</v>
      </c>
      <c r="BI125" t="n">
        <v>0.3087</v>
      </c>
      <c r="BJ125" t="n">
        <v>0.3234</v>
      </c>
      <c r="BK125" t="n">
        <v>0.3297</v>
      </c>
      <c r="BL125" t="n">
        <v>0.3487</v>
      </c>
      <c r="BM125" t="n">
        <v>0.3419</v>
      </c>
      <c r="BN125" t="n">
        <v>0.346</v>
      </c>
      <c r="BO125" t="n">
        <v>0.3598</v>
      </c>
      <c r="BP125" t="n">
        <v>0.3803</v>
      </c>
      <c r="BQ125" t="n">
        <v>0.3677</v>
      </c>
      <c r="BR125" t="n">
        <v>0.3631</v>
      </c>
      <c r="BS125" t="n">
        <v>0.3721</v>
      </c>
      <c r="BT125" t="n">
        <v>0.3754</v>
      </c>
      <c r="BU125" t="n">
        <v>0.3692</v>
      </c>
      <c r="BV125" t="n">
        <v>0.3752</v>
      </c>
      <c r="BW125" t="n">
        <v>0.3845</v>
      </c>
      <c r="BX125" t="n">
        <v>0.3945</v>
      </c>
      <c r="BY125" t="n">
        <v>0.4035</v>
      </c>
      <c r="BZ125" t="n">
        <v>0.4095</v>
      </c>
      <c r="CA125" t="n">
        <v>0.4168</v>
      </c>
      <c r="CB125" t="n">
        <v>0.4118</v>
      </c>
      <c r="CC125" t="n">
        <v>0.4209</v>
      </c>
      <c r="CD125" t="n">
        <v>0.4231</v>
      </c>
      <c r="CE125" t="n">
        <v>0.4214</v>
      </c>
      <c r="CF125" t="n">
        <v>0.4255</v>
      </c>
      <c r="CG125" t="n">
        <v>0.4313</v>
      </c>
      <c r="CH125" t="n">
        <v>0.4366</v>
      </c>
      <c r="CI125" t="n">
        <v>0.4378</v>
      </c>
      <c r="CJ125" t="n">
        <v>0.4463</v>
      </c>
      <c r="CK125" t="n">
        <v>0.4519</v>
      </c>
      <c r="CL125" t="n">
        <v>0.4511</v>
      </c>
      <c r="CM125" t="n">
        <v>0.4428</v>
      </c>
      <c r="CN125" t="n">
        <v>0.4456</v>
      </c>
      <c r="CO125" t="n">
        <v>0.4709</v>
      </c>
      <c r="CP125" t="n">
        <v>0.4697</v>
      </c>
      <c r="CQ125" t="n">
        <v>0.46</v>
      </c>
      <c r="CR125" t="n">
        <v>0.4702</v>
      </c>
      <c r="CS125" t="n">
        <v>0.4631</v>
      </c>
      <c r="CT125" t="n">
        <v>0.4829</v>
      </c>
      <c r="CU125" t="n">
        <v>0.4805</v>
      </c>
      <c r="CV125" t="n">
        <v>0.4874</v>
      </c>
      <c r="CW125" t="n">
        <v>0.4885</v>
      </c>
      <c r="CX125" t="n">
        <v>0.4852</v>
      </c>
      <c r="CY125" t="n">
        <v>0.5028</v>
      </c>
      <c r="CZ125" t="n">
        <v>0.4823</v>
      </c>
      <c r="DA125" t="n">
        <v>0.4963</v>
      </c>
      <c r="DB125" t="n">
        <v>0.5024</v>
      </c>
      <c r="DC125" t="n">
        <v>0.5075</v>
      </c>
      <c r="DD125" t="n">
        <v>0.5043</v>
      </c>
      <c r="DE125" t="n">
        <v>0.5231</v>
      </c>
      <c r="DF125" t="n">
        <v>0.5223</v>
      </c>
      <c r="DG125" t="n">
        <v>0.5225</v>
      </c>
      <c r="DH125" t="n">
        <v>0.5225</v>
      </c>
      <c r="DI125" t="n">
        <v>0.5292</v>
      </c>
      <c r="DJ125" t="n">
        <v>0.5127</v>
      </c>
      <c r="DK125" t="n">
        <v>0.5375</v>
      </c>
      <c r="DL125" t="n">
        <v>0.5503</v>
      </c>
      <c r="DM125" t="n">
        <v>0.5439000000000001</v>
      </c>
      <c r="DN125" t="n">
        <v>0.5467</v>
      </c>
      <c r="DO125" t="n">
        <v>0.5513</v>
      </c>
      <c r="DP125" t="n">
        <v>0.5634</v>
      </c>
      <c r="DQ125" t="n">
        <v>0.5633</v>
      </c>
      <c r="DR125" t="n">
        <v>0.5717</v>
      </c>
      <c r="DS125" t="n">
        <v>0.5859</v>
      </c>
      <c r="DT125" t="n">
        <v>0.5906</v>
      </c>
      <c r="DU125" t="n">
        <v>0.5928</v>
      </c>
      <c r="DV125" t="n">
        <v>0.6082</v>
      </c>
      <c r="DW125" t="n">
        <v>0.613</v>
      </c>
      <c r="DX125" t="n">
        <v>0.6038</v>
      </c>
      <c r="DY125" t="n">
        <v>0.6788</v>
      </c>
      <c r="DZ125" t="n">
        <v>0.8935</v>
      </c>
      <c r="EA125" t="n">
        <v>1.1203</v>
      </c>
    </row>
    <row r="126">
      <c r="BH126" t="n">
        <v>0.1</v>
      </c>
      <c r="BI126" t="n">
        <v>0.3017</v>
      </c>
      <c r="BJ126" t="n">
        <v>0.316</v>
      </c>
      <c r="BK126" t="n">
        <v>0.3196</v>
      </c>
      <c r="BL126" t="n">
        <v>0.3401</v>
      </c>
      <c r="BM126" t="n">
        <v>0.3299</v>
      </c>
      <c r="BN126" t="n">
        <v>0.3355</v>
      </c>
      <c r="BO126" t="n">
        <v>0.3481</v>
      </c>
      <c r="BP126" t="n">
        <v>0.3744</v>
      </c>
      <c r="BQ126" t="n">
        <v>0.3569</v>
      </c>
      <c r="BR126" t="n">
        <v>0.3517</v>
      </c>
      <c r="BS126" t="n">
        <v>0.3607</v>
      </c>
      <c r="BT126" t="n">
        <v>0.3655</v>
      </c>
      <c r="BU126" t="n">
        <v>0.3564</v>
      </c>
      <c r="BV126" t="n">
        <v>0.3648</v>
      </c>
      <c r="BW126" t="n">
        <v>0.3747</v>
      </c>
      <c r="BX126" t="n">
        <v>0.3833</v>
      </c>
      <c r="BY126" t="n">
        <v>0.3932</v>
      </c>
      <c r="BZ126" t="n">
        <v>0.3985</v>
      </c>
      <c r="CA126" t="n">
        <v>0.4052</v>
      </c>
      <c r="CB126" t="n">
        <v>0.3999</v>
      </c>
      <c r="CC126" t="n">
        <v>0.411</v>
      </c>
      <c r="CD126" t="n">
        <v>0.4146</v>
      </c>
      <c r="CE126" t="n">
        <v>0.4114</v>
      </c>
      <c r="CF126" t="n">
        <v>0.4138</v>
      </c>
      <c r="CG126" t="n">
        <v>0.4208</v>
      </c>
      <c r="CH126" t="n">
        <v>0.4267</v>
      </c>
      <c r="CI126" t="n">
        <v>0.4267</v>
      </c>
      <c r="CJ126" t="n">
        <v>0.4348</v>
      </c>
      <c r="CK126" t="n">
        <v>0.4411</v>
      </c>
      <c r="CL126" t="n">
        <v>0.4402</v>
      </c>
      <c r="CM126" t="n">
        <v>0.4306</v>
      </c>
      <c r="CN126" t="n">
        <v>0.4307</v>
      </c>
      <c r="CO126" t="n">
        <v>0.4617</v>
      </c>
      <c r="CP126" t="n">
        <v>0.4592</v>
      </c>
      <c r="CQ126" t="n">
        <v>0.4446</v>
      </c>
      <c r="CR126" t="n">
        <v>0.4583</v>
      </c>
      <c r="CS126" t="n">
        <v>0.4465</v>
      </c>
      <c r="CT126" t="n">
        <v>0.4724</v>
      </c>
      <c r="CU126" t="n">
        <v>0.4679</v>
      </c>
      <c r="CV126" t="n">
        <v>0.4774</v>
      </c>
      <c r="CW126" t="n">
        <v>0.4788</v>
      </c>
      <c r="CX126" t="n">
        <v>0.4722</v>
      </c>
      <c r="CY126" t="n">
        <v>0.4927</v>
      </c>
      <c r="CZ126" t="n">
        <v>0.4652</v>
      </c>
      <c r="DA126" t="n">
        <v>0.4822</v>
      </c>
      <c r="DB126" t="n">
        <v>0.4905</v>
      </c>
      <c r="DC126" t="n">
        <v>0.4971</v>
      </c>
      <c r="DD126" t="n">
        <v>0.4913</v>
      </c>
      <c r="DE126" t="n">
        <v>0.5135999999999999</v>
      </c>
      <c r="DF126" t="n">
        <v>0.5111</v>
      </c>
      <c r="DG126" t="n">
        <v>0.5096000000000001</v>
      </c>
      <c r="DH126" t="n">
        <v>0.5096000000000001</v>
      </c>
      <c r="DI126" t="n">
        <v>0.5169</v>
      </c>
      <c r="DJ126" t="n">
        <v>0.4936</v>
      </c>
      <c r="DK126" t="n">
        <v>0.5245</v>
      </c>
      <c r="DL126" t="n">
        <v>0.5397</v>
      </c>
      <c r="DM126" t="n">
        <v>0.5301</v>
      </c>
      <c r="DN126" t="n">
        <v>0.5341</v>
      </c>
      <c r="DO126" t="n">
        <v>0.5373</v>
      </c>
      <c r="DP126" t="n">
        <v>0.5516</v>
      </c>
      <c r="DQ126" t="n">
        <v>0.5497</v>
      </c>
      <c r="DR126" t="n">
        <v>0.5601</v>
      </c>
      <c r="DS126" t="n">
        <v>0.5756</v>
      </c>
      <c r="DT126" t="n">
        <v>0.5756</v>
      </c>
      <c r="DU126" t="n">
        <v>0.5755</v>
      </c>
      <c r="DV126" t="n">
        <v>0.5952</v>
      </c>
      <c r="DW126" t="n">
        <v>0.5986</v>
      </c>
      <c r="DX126" t="n">
        <v>0.5864</v>
      </c>
      <c r="DY126" t="n">
        <v>0.6637999999999999</v>
      </c>
      <c r="DZ126" t="n">
        <v>0.8951</v>
      </c>
      <c r="EA126" t="n">
        <v>1.1285</v>
      </c>
    </row>
    <row r="127">
      <c r="BH127" t="n">
        <v>0.11</v>
      </c>
      <c r="BI127" t="n">
        <v>0.2951</v>
      </c>
      <c r="BJ127" t="n">
        <v>0.3089</v>
      </c>
      <c r="BK127" t="n">
        <v>0.3105</v>
      </c>
      <c r="BL127" t="n">
        <v>0.332</v>
      </c>
      <c r="BM127" t="n">
        <v>0.3189</v>
      </c>
      <c r="BN127" t="n">
        <v>0.3258</v>
      </c>
      <c r="BO127" t="n">
        <v>0.3375</v>
      </c>
      <c r="BP127" t="n">
        <v>0.3687</v>
      </c>
      <c r="BQ127" t="n">
        <v>0.3468</v>
      </c>
      <c r="BR127" t="n">
        <v>0.3412</v>
      </c>
      <c r="BS127" t="n">
        <v>0.3502</v>
      </c>
      <c r="BT127" t="n">
        <v>0.3561</v>
      </c>
      <c r="BU127" t="n">
        <v>0.3448</v>
      </c>
      <c r="BV127" t="n">
        <v>0.3552</v>
      </c>
      <c r="BW127" t="n">
        <v>0.3655</v>
      </c>
      <c r="BX127" t="n">
        <v>0.373</v>
      </c>
      <c r="BY127" t="n">
        <v>0.3835</v>
      </c>
      <c r="BZ127" t="n">
        <v>0.3882</v>
      </c>
      <c r="CA127" t="n">
        <v>0.3943</v>
      </c>
      <c r="CB127" t="n">
        <v>0.3888</v>
      </c>
      <c r="CC127" t="n">
        <v>0.4018</v>
      </c>
      <c r="CD127" t="n">
        <v>0.4067</v>
      </c>
      <c r="CE127" t="n">
        <v>0.402</v>
      </c>
      <c r="CF127" t="n">
        <v>0.4028</v>
      </c>
      <c r="CG127" t="n">
        <v>0.411</v>
      </c>
      <c r="CH127" t="n">
        <v>0.4173</v>
      </c>
      <c r="CI127" t="n">
        <v>0.4163</v>
      </c>
      <c r="CJ127" t="n">
        <v>0.4242</v>
      </c>
      <c r="CK127" t="n">
        <v>0.4309</v>
      </c>
      <c r="CL127" t="n">
        <v>0.4301</v>
      </c>
      <c r="CM127" t="n">
        <v>0.4195</v>
      </c>
      <c r="CN127" t="n">
        <v>0.4171</v>
      </c>
      <c r="CO127" t="n">
        <v>0.4529</v>
      </c>
      <c r="CP127" t="n">
        <v>0.4494</v>
      </c>
      <c r="CQ127" t="n">
        <v>0.4303</v>
      </c>
      <c r="CR127" t="n">
        <v>0.447</v>
      </c>
      <c r="CS127" t="n">
        <v>0.4311</v>
      </c>
      <c r="CT127" t="n">
        <v>0.4625</v>
      </c>
      <c r="CU127" t="n">
        <v>0.4561</v>
      </c>
      <c r="CV127" t="n">
        <v>0.4679</v>
      </c>
      <c r="CW127" t="n">
        <v>0.4696</v>
      </c>
      <c r="CX127" t="n">
        <v>0.4601</v>
      </c>
      <c r="CY127" t="n">
        <v>0.4832</v>
      </c>
      <c r="CZ127" t="n">
        <v>0.4496</v>
      </c>
      <c r="DA127" t="n">
        <v>0.4691</v>
      </c>
      <c r="DB127" t="n">
        <v>0.4792</v>
      </c>
      <c r="DC127" t="n">
        <v>0.4873</v>
      </c>
      <c r="DD127" t="n">
        <v>0.4791</v>
      </c>
      <c r="DE127" t="n">
        <v>0.5047</v>
      </c>
      <c r="DF127" t="n">
        <v>0.5007</v>
      </c>
      <c r="DG127" t="n">
        <v>0.4974</v>
      </c>
      <c r="DH127" t="n">
        <v>0.4976</v>
      </c>
      <c r="DI127" t="n">
        <v>0.5053</v>
      </c>
      <c r="DJ127" t="n">
        <v>0.4762</v>
      </c>
      <c r="DK127" t="n">
        <v>0.5123</v>
      </c>
      <c r="DL127" t="n">
        <v>0.5296</v>
      </c>
      <c r="DM127" t="n">
        <v>0.5171</v>
      </c>
      <c r="DN127" t="n">
        <v>0.5224</v>
      </c>
      <c r="DO127" t="n">
        <v>0.5243</v>
      </c>
      <c r="DP127" t="n">
        <v>0.5405</v>
      </c>
      <c r="DQ127" t="n">
        <v>0.5369</v>
      </c>
      <c r="DR127" t="n">
        <v>0.5491</v>
      </c>
      <c r="DS127" t="n">
        <v>0.5658</v>
      </c>
      <c r="DT127" t="n">
        <v>0.5616</v>
      </c>
      <c r="DU127" t="n">
        <v>0.5597</v>
      </c>
      <c r="DV127" t="n">
        <v>0.583</v>
      </c>
      <c r="DW127" t="n">
        <v>0.5852000000000001</v>
      </c>
      <c r="DX127" t="n">
        <v>0.5704</v>
      </c>
      <c r="DY127" t="n">
        <v>0.6496</v>
      </c>
      <c r="DZ127" t="n">
        <v>0.8964</v>
      </c>
      <c r="EA127" t="n">
        <v>1.1359</v>
      </c>
    </row>
    <row r="128">
      <c r="BH128" t="n">
        <v>0.12</v>
      </c>
      <c r="BI128" t="n">
        <v>0.289</v>
      </c>
      <c r="BJ128" t="n">
        <v>0.3023</v>
      </c>
      <c r="BK128" t="n">
        <v>0.3021</v>
      </c>
      <c r="BL128" t="n">
        <v>0.3244</v>
      </c>
      <c r="BM128" t="n">
        <v>0.3087</v>
      </c>
      <c r="BN128" t="n">
        <v>0.3168</v>
      </c>
      <c r="BO128" t="n">
        <v>0.3277</v>
      </c>
      <c r="BP128" t="n">
        <v>0.3632</v>
      </c>
      <c r="BQ128" t="n">
        <v>0.3375</v>
      </c>
      <c r="BR128" t="n">
        <v>0.3315</v>
      </c>
      <c r="BS128" t="n">
        <v>0.3404</v>
      </c>
      <c r="BT128" t="n">
        <v>0.3474</v>
      </c>
      <c r="BU128" t="n">
        <v>0.3341</v>
      </c>
      <c r="BV128" t="n">
        <v>0.3465</v>
      </c>
      <c r="BW128" t="n">
        <v>0.3569</v>
      </c>
      <c r="BX128" t="n">
        <v>0.3634</v>
      </c>
      <c r="BY128" t="n">
        <v>0.3744</v>
      </c>
      <c r="BZ128" t="n">
        <v>0.3787</v>
      </c>
      <c r="CA128" t="n">
        <v>0.3841</v>
      </c>
      <c r="CB128" t="n">
        <v>0.3786</v>
      </c>
      <c r="CC128" t="n">
        <v>0.3932</v>
      </c>
      <c r="CD128" t="n">
        <v>0.3994</v>
      </c>
      <c r="CE128" t="n">
        <v>0.3932</v>
      </c>
      <c r="CF128" t="n">
        <v>0.3925</v>
      </c>
      <c r="CG128" t="n">
        <v>0.4017</v>
      </c>
      <c r="CH128" t="n">
        <v>0.4084</v>
      </c>
      <c r="CI128" t="n">
        <v>0.4066</v>
      </c>
      <c r="CJ128" t="n">
        <v>0.4144</v>
      </c>
      <c r="CK128" t="n">
        <v>0.4214</v>
      </c>
      <c r="CL128" t="n">
        <v>0.4206</v>
      </c>
      <c r="CM128" t="n">
        <v>0.4092</v>
      </c>
      <c r="CN128" t="n">
        <v>0.4046</v>
      </c>
      <c r="CO128" t="n">
        <v>0.4447</v>
      </c>
      <c r="CP128" t="n">
        <v>0.4401</v>
      </c>
      <c r="CQ128" t="n">
        <v>0.4172</v>
      </c>
      <c r="CR128" t="n">
        <v>0.4365</v>
      </c>
      <c r="CS128" t="n">
        <v>0.4168</v>
      </c>
      <c r="CT128" t="n">
        <v>0.4532</v>
      </c>
      <c r="CU128" t="n">
        <v>0.4451</v>
      </c>
      <c r="CV128" t="n">
        <v>0.459</v>
      </c>
      <c r="CW128" t="n">
        <v>0.4608</v>
      </c>
      <c r="CX128" t="n">
        <v>0.4488</v>
      </c>
      <c r="CY128" t="n">
        <v>0.4741</v>
      </c>
      <c r="CZ128" t="n">
        <v>0.4355</v>
      </c>
      <c r="DA128" t="n">
        <v>0.4569</v>
      </c>
      <c r="DB128" t="n">
        <v>0.4687</v>
      </c>
      <c r="DC128" t="n">
        <v>0.478</v>
      </c>
      <c r="DD128" t="n">
        <v>0.4677</v>
      </c>
      <c r="DE128" t="n">
        <v>0.4961</v>
      </c>
      <c r="DF128" t="n">
        <v>0.4908</v>
      </c>
      <c r="DG128" t="n">
        <v>0.4861</v>
      </c>
      <c r="DH128" t="n">
        <v>0.4862</v>
      </c>
      <c r="DI128" t="n">
        <v>0.4944</v>
      </c>
      <c r="DJ128" t="n">
        <v>0.4604</v>
      </c>
      <c r="DK128" t="n">
        <v>0.501</v>
      </c>
      <c r="DL128" t="n">
        <v>0.5199</v>
      </c>
      <c r="DM128" t="n">
        <v>0.505</v>
      </c>
      <c r="DN128" t="n">
        <v>0.5114</v>
      </c>
      <c r="DO128" t="n">
        <v>0.5123</v>
      </c>
      <c r="DP128" t="n">
        <v>0.5299</v>
      </c>
      <c r="DQ128" t="n">
        <v>0.5249</v>
      </c>
      <c r="DR128" t="n">
        <v>0.5387</v>
      </c>
      <c r="DS128" t="n">
        <v>0.5564</v>
      </c>
      <c r="DT128" t="n">
        <v>0.5485</v>
      </c>
      <c r="DU128" t="n">
        <v>0.5451</v>
      </c>
      <c r="DV128" t="n">
        <v>0.5716</v>
      </c>
      <c r="DW128" t="n">
        <v>0.5727</v>
      </c>
      <c r="DX128" t="n">
        <v>0.5556</v>
      </c>
      <c r="DY128" t="n">
        <v>0.6363</v>
      </c>
      <c r="DZ128" t="n">
        <v>0.8974</v>
      </c>
      <c r="EA128" t="n">
        <v>1.1427</v>
      </c>
    </row>
    <row r="140">
      <c r="N140" s="75" t="inlineStr">
        <is>
          <t>DATA 5 — space vs cost, ALL cars (sorted by seats)</t>
        </is>
      </c>
    </row>
    <row r="170">
      <c r="N170" s="75" t="inlineStr">
        <is>
          <t>DATA 6 — $/mi vs purchase odometer (selected cars)</t>
        </is>
      </c>
    </row>
    <row r="171">
      <c r="N171" s="24" t="inlineStr">
        <is>
          <t>Buy odo</t>
        </is>
      </c>
      <c r="O171">
        <f>Charts!$A$4</f>
        <v/>
      </c>
      <c r="P171">
        <f>Charts!$A$5</f>
        <v/>
      </c>
      <c r="Q171">
        <f>Charts!$A$6</f>
        <v/>
      </c>
      <c r="R171">
        <f>Charts!$A$7</f>
        <v/>
      </c>
      <c r="S171">
        <f>Charts!$A$8</f>
        <v/>
      </c>
      <c r="T171">
        <f>Charts!$A$9</f>
        <v/>
      </c>
      <c r="U171">
        <f>Charts!$A$10</f>
        <v/>
      </c>
      <c r="V171">
        <f>Charts!$A$11</f>
        <v/>
      </c>
      <c r="W171">
        <f>Charts!$A$12</f>
        <v/>
      </c>
      <c r="X171">
        <f>Charts!$A$13</f>
        <v/>
      </c>
    </row>
    <row r="172">
      <c r="N172" t="n">
        <v>20000</v>
      </c>
      <c r="O172">
        <f>IFERROR(INDEX($BI$26:$EA$26,MATCH(O$171,$BI$25:$EA$25,0)),"")</f>
        <v/>
      </c>
      <c r="P172">
        <f>IFERROR(INDEX($BI$26:$EA$26,MATCH(P$171,$BI$25:$EA$25,0)),"")</f>
        <v/>
      </c>
      <c r="Q172">
        <f>IFERROR(INDEX($BI$26:$EA$26,MATCH(Q$171,$BI$25:$EA$25,0)),"")</f>
        <v/>
      </c>
      <c r="R172">
        <f>IFERROR(INDEX($BI$26:$EA$26,MATCH(R$171,$BI$25:$EA$25,0)),"")</f>
        <v/>
      </c>
      <c r="S172">
        <f>IFERROR(INDEX($BI$26:$EA$26,MATCH(S$171,$BI$25:$EA$25,0)),"")</f>
        <v/>
      </c>
      <c r="T172">
        <f>IFERROR(INDEX($BI$26:$EA$26,MATCH(T$171,$BI$25:$EA$25,0)),"")</f>
        <v/>
      </c>
      <c r="U172">
        <f>IFERROR(INDEX($BI$26:$EA$26,MATCH(U$171,$BI$25:$EA$25,0)),"")</f>
        <v/>
      </c>
      <c r="V172">
        <f>IFERROR(INDEX($BI$26:$EA$26,MATCH(V$171,$BI$25:$EA$25,0)),"")</f>
        <v/>
      </c>
      <c r="W172">
        <f>IFERROR(INDEX($BI$26:$EA$26,MATCH(W$171,$BI$25:$EA$25,0)),"")</f>
        <v/>
      </c>
      <c r="X172">
        <f>IFERROR(INDEX($BI$26:$EA$26,MATCH(X$171,$BI$25:$EA$25,0)),"")</f>
        <v/>
      </c>
    </row>
    <row r="173">
      <c r="N173" t="n">
        <v>40000</v>
      </c>
      <c r="O173">
        <f>IFERROR(INDEX($BI$27:$EA$27,MATCH(O$171,$BI$25:$EA$25,0)),"")</f>
        <v/>
      </c>
      <c r="P173">
        <f>IFERROR(INDEX($BI$27:$EA$27,MATCH(P$171,$BI$25:$EA$25,0)),"")</f>
        <v/>
      </c>
      <c r="Q173">
        <f>IFERROR(INDEX($BI$27:$EA$27,MATCH(Q$171,$BI$25:$EA$25,0)),"")</f>
        <v/>
      </c>
      <c r="R173">
        <f>IFERROR(INDEX($BI$27:$EA$27,MATCH(R$171,$BI$25:$EA$25,0)),"")</f>
        <v/>
      </c>
      <c r="S173">
        <f>IFERROR(INDEX($BI$27:$EA$27,MATCH(S$171,$BI$25:$EA$25,0)),"")</f>
        <v/>
      </c>
      <c r="T173">
        <f>IFERROR(INDEX($BI$27:$EA$27,MATCH(T$171,$BI$25:$EA$25,0)),"")</f>
        <v/>
      </c>
      <c r="U173">
        <f>IFERROR(INDEX($BI$27:$EA$27,MATCH(U$171,$BI$25:$EA$25,0)),"")</f>
        <v/>
      </c>
      <c r="V173">
        <f>IFERROR(INDEX($BI$27:$EA$27,MATCH(V$171,$BI$25:$EA$25,0)),"")</f>
        <v/>
      </c>
      <c r="W173">
        <f>IFERROR(INDEX($BI$27:$EA$27,MATCH(W$171,$BI$25:$EA$25,0)),"")</f>
        <v/>
      </c>
      <c r="X173">
        <f>IFERROR(INDEX($BI$27:$EA$27,MATCH(X$171,$BI$25:$EA$25,0)),"")</f>
        <v/>
      </c>
    </row>
    <row r="174">
      <c r="N174" t="n">
        <v>60000</v>
      </c>
      <c r="O174">
        <f>IFERROR(INDEX($BI$28:$EA$28,MATCH(O$171,$BI$25:$EA$25,0)),"")</f>
        <v/>
      </c>
      <c r="P174">
        <f>IFERROR(INDEX($BI$28:$EA$28,MATCH(P$171,$BI$25:$EA$25,0)),"")</f>
        <v/>
      </c>
      <c r="Q174">
        <f>IFERROR(INDEX($BI$28:$EA$28,MATCH(Q$171,$BI$25:$EA$25,0)),"")</f>
        <v/>
      </c>
      <c r="R174">
        <f>IFERROR(INDEX($BI$28:$EA$28,MATCH(R$171,$BI$25:$EA$25,0)),"")</f>
        <v/>
      </c>
      <c r="S174">
        <f>IFERROR(INDEX($BI$28:$EA$28,MATCH(S$171,$BI$25:$EA$25,0)),"")</f>
        <v/>
      </c>
      <c r="T174">
        <f>IFERROR(INDEX($BI$28:$EA$28,MATCH(T$171,$BI$25:$EA$25,0)),"")</f>
        <v/>
      </c>
      <c r="U174">
        <f>IFERROR(INDEX($BI$28:$EA$28,MATCH(U$171,$BI$25:$EA$25,0)),"")</f>
        <v/>
      </c>
      <c r="V174">
        <f>IFERROR(INDEX($BI$28:$EA$28,MATCH(V$171,$BI$25:$EA$25,0)),"")</f>
        <v/>
      </c>
      <c r="W174">
        <f>IFERROR(INDEX($BI$28:$EA$28,MATCH(W$171,$BI$25:$EA$25,0)),"")</f>
        <v/>
      </c>
      <c r="X174">
        <f>IFERROR(INDEX($BI$28:$EA$28,MATCH(X$171,$BI$25:$EA$25,0)),"")</f>
        <v/>
      </c>
    </row>
    <row r="175">
      <c r="N175" t="n">
        <v>80000</v>
      </c>
      <c r="O175">
        <f>IFERROR(INDEX($BI$29:$EA$29,MATCH(O$171,$BI$25:$EA$25,0)),"")</f>
        <v/>
      </c>
      <c r="P175">
        <f>IFERROR(INDEX($BI$29:$EA$29,MATCH(P$171,$BI$25:$EA$25,0)),"")</f>
        <v/>
      </c>
      <c r="Q175">
        <f>IFERROR(INDEX($BI$29:$EA$29,MATCH(Q$171,$BI$25:$EA$25,0)),"")</f>
        <v/>
      </c>
      <c r="R175">
        <f>IFERROR(INDEX($BI$29:$EA$29,MATCH(R$171,$BI$25:$EA$25,0)),"")</f>
        <v/>
      </c>
      <c r="S175">
        <f>IFERROR(INDEX($BI$29:$EA$29,MATCH(S$171,$BI$25:$EA$25,0)),"")</f>
        <v/>
      </c>
      <c r="T175">
        <f>IFERROR(INDEX($BI$29:$EA$29,MATCH(T$171,$BI$25:$EA$25,0)),"")</f>
        <v/>
      </c>
      <c r="U175">
        <f>IFERROR(INDEX($BI$29:$EA$29,MATCH(U$171,$BI$25:$EA$25,0)),"")</f>
        <v/>
      </c>
      <c r="V175">
        <f>IFERROR(INDEX($BI$29:$EA$29,MATCH(V$171,$BI$25:$EA$25,0)),"")</f>
        <v/>
      </c>
      <c r="W175">
        <f>IFERROR(INDEX($BI$29:$EA$29,MATCH(W$171,$BI$25:$EA$25,0)),"")</f>
        <v/>
      </c>
      <c r="X175">
        <f>IFERROR(INDEX($BI$29:$EA$29,MATCH(X$171,$BI$25:$EA$25,0)),"")</f>
        <v/>
      </c>
    </row>
    <row r="176">
      <c r="N176" t="n">
        <v>100000</v>
      </c>
      <c r="O176">
        <f>IFERROR(INDEX($BI$30:$EA$30,MATCH(O$171,$BI$25:$EA$25,0)),"")</f>
        <v/>
      </c>
      <c r="P176">
        <f>IFERROR(INDEX($BI$30:$EA$30,MATCH(P$171,$BI$25:$EA$25,0)),"")</f>
        <v/>
      </c>
      <c r="Q176">
        <f>IFERROR(INDEX($BI$30:$EA$30,MATCH(Q$171,$BI$25:$EA$25,0)),"")</f>
        <v/>
      </c>
      <c r="R176">
        <f>IFERROR(INDEX($BI$30:$EA$30,MATCH(R$171,$BI$25:$EA$25,0)),"")</f>
        <v/>
      </c>
      <c r="S176">
        <f>IFERROR(INDEX($BI$30:$EA$30,MATCH(S$171,$BI$25:$EA$25,0)),"")</f>
        <v/>
      </c>
      <c r="T176">
        <f>IFERROR(INDEX($BI$30:$EA$30,MATCH(T$171,$BI$25:$EA$25,0)),"")</f>
        <v/>
      </c>
      <c r="U176">
        <f>IFERROR(INDEX($BI$30:$EA$30,MATCH(U$171,$BI$25:$EA$25,0)),"")</f>
        <v/>
      </c>
      <c r="V176">
        <f>IFERROR(INDEX($BI$30:$EA$30,MATCH(V$171,$BI$25:$EA$25,0)),"")</f>
        <v/>
      </c>
      <c r="W176">
        <f>IFERROR(INDEX($BI$30:$EA$30,MATCH(W$171,$BI$25:$EA$25,0)),"")</f>
        <v/>
      </c>
      <c r="X176">
        <f>IFERROR(INDEX($BI$30:$EA$30,MATCH(X$171,$BI$25:$EA$25,0)),"")</f>
        <v/>
      </c>
    </row>
    <row r="177">
      <c r="N177" t="n">
        <v>120000</v>
      </c>
      <c r="O177">
        <f>IFERROR(INDEX($BI$31:$EA$31,MATCH(O$171,$BI$25:$EA$25,0)),"")</f>
        <v/>
      </c>
      <c r="P177">
        <f>IFERROR(INDEX($BI$31:$EA$31,MATCH(P$171,$BI$25:$EA$25,0)),"")</f>
        <v/>
      </c>
      <c r="Q177">
        <f>IFERROR(INDEX($BI$31:$EA$31,MATCH(Q$171,$BI$25:$EA$25,0)),"")</f>
        <v/>
      </c>
      <c r="R177">
        <f>IFERROR(INDEX($BI$31:$EA$31,MATCH(R$171,$BI$25:$EA$25,0)),"")</f>
        <v/>
      </c>
      <c r="S177">
        <f>IFERROR(INDEX($BI$31:$EA$31,MATCH(S$171,$BI$25:$EA$25,0)),"")</f>
        <v/>
      </c>
      <c r="T177">
        <f>IFERROR(INDEX($BI$31:$EA$31,MATCH(T$171,$BI$25:$EA$25,0)),"")</f>
        <v/>
      </c>
      <c r="U177">
        <f>IFERROR(INDEX($BI$31:$EA$31,MATCH(U$171,$BI$25:$EA$25,0)),"")</f>
        <v/>
      </c>
      <c r="V177">
        <f>IFERROR(INDEX($BI$31:$EA$31,MATCH(V$171,$BI$25:$EA$25,0)),"")</f>
        <v/>
      </c>
      <c r="W177">
        <f>IFERROR(INDEX($BI$31:$EA$31,MATCH(W$171,$BI$25:$EA$25,0)),"")</f>
        <v/>
      </c>
      <c r="X177">
        <f>IFERROR(INDEX($BI$31:$EA$31,MATCH(X$171,$BI$25:$EA$25,0)),"")</f>
        <v/>
      </c>
    </row>
    <row r="178">
      <c r="N178" t="n">
        <v>140000</v>
      </c>
      <c r="O178">
        <f>IFERROR(INDEX($BI$32:$EA$32,MATCH(O$171,$BI$25:$EA$25,0)),"")</f>
        <v/>
      </c>
      <c r="P178">
        <f>IFERROR(INDEX($BI$32:$EA$32,MATCH(P$171,$BI$25:$EA$25,0)),"")</f>
        <v/>
      </c>
      <c r="Q178">
        <f>IFERROR(INDEX($BI$32:$EA$32,MATCH(Q$171,$BI$25:$EA$25,0)),"")</f>
        <v/>
      </c>
      <c r="R178">
        <f>IFERROR(INDEX($BI$32:$EA$32,MATCH(R$171,$BI$25:$EA$25,0)),"")</f>
        <v/>
      </c>
      <c r="S178">
        <f>IFERROR(INDEX($BI$32:$EA$32,MATCH(S$171,$BI$25:$EA$25,0)),"")</f>
        <v/>
      </c>
      <c r="T178">
        <f>IFERROR(INDEX($BI$32:$EA$32,MATCH(T$171,$BI$25:$EA$25,0)),"")</f>
        <v/>
      </c>
      <c r="U178">
        <f>IFERROR(INDEX($BI$32:$EA$32,MATCH(U$171,$BI$25:$EA$25,0)),"")</f>
        <v/>
      </c>
      <c r="V178">
        <f>IFERROR(INDEX($BI$32:$EA$32,MATCH(V$171,$BI$25:$EA$25,0)),"")</f>
        <v/>
      </c>
      <c r="W178">
        <f>IFERROR(INDEX($BI$32:$EA$32,MATCH(W$171,$BI$25:$EA$25,0)),"")</f>
        <v/>
      </c>
      <c r="X178">
        <f>IFERROR(INDEX($BI$32:$EA$32,MATCH(X$171,$BI$25:$EA$25,0)),"")</f>
        <v/>
      </c>
    </row>
    <row r="179">
      <c r="N179" t="n">
        <v>160000</v>
      </c>
      <c r="O179">
        <f>IFERROR(INDEX($BI$33:$EA$33,MATCH(O$171,$BI$25:$EA$25,0)),"")</f>
        <v/>
      </c>
      <c r="P179">
        <f>IFERROR(INDEX($BI$33:$EA$33,MATCH(P$171,$BI$25:$EA$25,0)),"")</f>
        <v/>
      </c>
      <c r="Q179">
        <f>IFERROR(INDEX($BI$33:$EA$33,MATCH(Q$171,$BI$25:$EA$25,0)),"")</f>
        <v/>
      </c>
      <c r="R179">
        <f>IFERROR(INDEX($BI$33:$EA$33,MATCH(R$171,$BI$25:$EA$25,0)),"")</f>
        <v/>
      </c>
      <c r="S179">
        <f>IFERROR(INDEX($BI$33:$EA$33,MATCH(S$171,$BI$25:$EA$25,0)),"")</f>
        <v/>
      </c>
      <c r="T179">
        <f>IFERROR(INDEX($BI$33:$EA$33,MATCH(T$171,$BI$25:$EA$25,0)),"")</f>
        <v/>
      </c>
      <c r="U179">
        <f>IFERROR(INDEX($BI$33:$EA$33,MATCH(U$171,$BI$25:$EA$25,0)),"")</f>
        <v/>
      </c>
      <c r="V179">
        <f>IFERROR(INDEX($BI$33:$EA$33,MATCH(V$171,$BI$25:$EA$25,0)),"")</f>
        <v/>
      </c>
      <c r="W179">
        <f>IFERROR(INDEX($BI$33:$EA$33,MATCH(W$171,$BI$25:$EA$25,0)),"")</f>
        <v/>
      </c>
      <c r="X179">
        <f>IFERROR(INDEX($BI$33:$EA$33,MATCH(X$171,$BI$25:$EA$25,0)),"")</f>
        <v/>
      </c>
    </row>
    <row r="201">
      <c r="N201" s="75" t="inlineStr">
        <is>
          <t>DATA 7 — $/mi vs gas price (selected cars)</t>
        </is>
      </c>
    </row>
    <row r="202">
      <c r="N202" s="24" t="inlineStr">
        <is>
          <t>Gas $/gal</t>
        </is>
      </c>
      <c r="O202">
        <f>Charts!$A$4</f>
        <v/>
      </c>
      <c r="P202">
        <f>Charts!$A$5</f>
        <v/>
      </c>
      <c r="Q202">
        <f>Charts!$A$6</f>
        <v/>
      </c>
      <c r="R202">
        <f>Charts!$A$7</f>
        <v/>
      </c>
      <c r="S202">
        <f>Charts!$A$8</f>
        <v/>
      </c>
      <c r="T202">
        <f>Charts!$A$9</f>
        <v/>
      </c>
      <c r="U202">
        <f>Charts!$A$10</f>
        <v/>
      </c>
      <c r="V202">
        <f>Charts!$A$11</f>
        <v/>
      </c>
      <c r="W202">
        <f>Charts!$A$12</f>
        <v/>
      </c>
      <c r="X202">
        <f>Charts!$A$13</f>
        <v/>
      </c>
    </row>
    <row r="203">
      <c r="N203" t="n">
        <v>3</v>
      </c>
      <c r="O203">
        <f>IFERROR(INDEX($BI$37:$EA$37,MATCH(O$202,$BI$36:$EA$36,0)),"")</f>
        <v/>
      </c>
      <c r="P203">
        <f>IFERROR(INDEX($BI$37:$EA$37,MATCH(P$202,$BI$36:$EA$36,0)),"")</f>
        <v/>
      </c>
      <c r="Q203">
        <f>IFERROR(INDEX($BI$37:$EA$37,MATCH(Q$202,$BI$36:$EA$36,0)),"")</f>
        <v/>
      </c>
      <c r="R203">
        <f>IFERROR(INDEX($BI$37:$EA$37,MATCH(R$202,$BI$36:$EA$36,0)),"")</f>
        <v/>
      </c>
      <c r="S203">
        <f>IFERROR(INDEX($BI$37:$EA$37,MATCH(S$202,$BI$36:$EA$36,0)),"")</f>
        <v/>
      </c>
      <c r="T203">
        <f>IFERROR(INDEX($BI$37:$EA$37,MATCH(T$202,$BI$36:$EA$36,0)),"")</f>
        <v/>
      </c>
      <c r="U203">
        <f>IFERROR(INDEX($BI$37:$EA$37,MATCH(U$202,$BI$36:$EA$36,0)),"")</f>
        <v/>
      </c>
      <c r="V203">
        <f>IFERROR(INDEX($BI$37:$EA$37,MATCH(V$202,$BI$36:$EA$36,0)),"")</f>
        <v/>
      </c>
      <c r="W203">
        <f>IFERROR(INDEX($BI$37:$EA$37,MATCH(W$202,$BI$36:$EA$36,0)),"")</f>
        <v/>
      </c>
      <c r="X203">
        <f>IFERROR(INDEX($BI$37:$EA$37,MATCH(X$202,$BI$36:$EA$36,0)),"")</f>
        <v/>
      </c>
    </row>
    <row r="204">
      <c r="N204" t="n">
        <v>4</v>
      </c>
      <c r="O204">
        <f>IFERROR(INDEX($BI$38:$EA$38,MATCH(O$202,$BI$36:$EA$36,0)),"")</f>
        <v/>
      </c>
      <c r="P204">
        <f>IFERROR(INDEX($BI$38:$EA$38,MATCH(P$202,$BI$36:$EA$36,0)),"")</f>
        <v/>
      </c>
      <c r="Q204">
        <f>IFERROR(INDEX($BI$38:$EA$38,MATCH(Q$202,$BI$36:$EA$36,0)),"")</f>
        <v/>
      </c>
      <c r="R204">
        <f>IFERROR(INDEX($BI$38:$EA$38,MATCH(R$202,$BI$36:$EA$36,0)),"")</f>
        <v/>
      </c>
      <c r="S204">
        <f>IFERROR(INDEX($BI$38:$EA$38,MATCH(S$202,$BI$36:$EA$36,0)),"")</f>
        <v/>
      </c>
      <c r="T204">
        <f>IFERROR(INDEX($BI$38:$EA$38,MATCH(T$202,$BI$36:$EA$36,0)),"")</f>
        <v/>
      </c>
      <c r="U204">
        <f>IFERROR(INDEX($BI$38:$EA$38,MATCH(U$202,$BI$36:$EA$36,0)),"")</f>
        <v/>
      </c>
      <c r="V204">
        <f>IFERROR(INDEX($BI$38:$EA$38,MATCH(V$202,$BI$36:$EA$36,0)),"")</f>
        <v/>
      </c>
      <c r="W204">
        <f>IFERROR(INDEX($BI$38:$EA$38,MATCH(W$202,$BI$36:$EA$36,0)),"")</f>
        <v/>
      </c>
      <c r="X204">
        <f>IFERROR(INDEX($BI$38:$EA$38,MATCH(X$202,$BI$36:$EA$36,0)),"")</f>
        <v/>
      </c>
    </row>
    <row r="205">
      <c r="N205" t="n">
        <v>5</v>
      </c>
      <c r="O205">
        <f>IFERROR(INDEX($BI$39:$EA$39,MATCH(O$202,$BI$36:$EA$36,0)),"")</f>
        <v/>
      </c>
      <c r="P205">
        <f>IFERROR(INDEX($BI$39:$EA$39,MATCH(P$202,$BI$36:$EA$36,0)),"")</f>
        <v/>
      </c>
      <c r="Q205">
        <f>IFERROR(INDEX($BI$39:$EA$39,MATCH(Q$202,$BI$36:$EA$36,0)),"")</f>
        <v/>
      </c>
      <c r="R205">
        <f>IFERROR(INDEX($BI$39:$EA$39,MATCH(R$202,$BI$36:$EA$36,0)),"")</f>
        <v/>
      </c>
      <c r="S205">
        <f>IFERROR(INDEX($BI$39:$EA$39,MATCH(S$202,$BI$36:$EA$36,0)),"")</f>
        <v/>
      </c>
      <c r="T205">
        <f>IFERROR(INDEX($BI$39:$EA$39,MATCH(T$202,$BI$36:$EA$36,0)),"")</f>
        <v/>
      </c>
      <c r="U205">
        <f>IFERROR(INDEX($BI$39:$EA$39,MATCH(U$202,$BI$36:$EA$36,0)),"")</f>
        <v/>
      </c>
      <c r="V205">
        <f>IFERROR(INDEX($BI$39:$EA$39,MATCH(V$202,$BI$36:$EA$36,0)),"")</f>
        <v/>
      </c>
      <c r="W205">
        <f>IFERROR(INDEX($BI$39:$EA$39,MATCH(W$202,$BI$36:$EA$36,0)),"")</f>
        <v/>
      </c>
      <c r="X205">
        <f>IFERROR(INDEX($BI$39:$EA$39,MATCH(X$202,$BI$36:$EA$36,0)),"")</f>
        <v/>
      </c>
    </row>
    <row r="206">
      <c r="N206" t="n">
        <v>5.455</v>
      </c>
      <c r="O206">
        <f>IFERROR(INDEX($BI$40:$EA$40,MATCH(O$202,$BI$36:$EA$36,0)),"")</f>
        <v/>
      </c>
      <c r="P206">
        <f>IFERROR(INDEX($BI$40:$EA$40,MATCH(P$202,$BI$36:$EA$36,0)),"")</f>
        <v/>
      </c>
      <c r="Q206">
        <f>IFERROR(INDEX($BI$40:$EA$40,MATCH(Q$202,$BI$36:$EA$36,0)),"")</f>
        <v/>
      </c>
      <c r="R206">
        <f>IFERROR(INDEX($BI$40:$EA$40,MATCH(R$202,$BI$36:$EA$36,0)),"")</f>
        <v/>
      </c>
      <c r="S206">
        <f>IFERROR(INDEX($BI$40:$EA$40,MATCH(S$202,$BI$36:$EA$36,0)),"")</f>
        <v/>
      </c>
      <c r="T206">
        <f>IFERROR(INDEX($BI$40:$EA$40,MATCH(T$202,$BI$36:$EA$36,0)),"")</f>
        <v/>
      </c>
      <c r="U206">
        <f>IFERROR(INDEX($BI$40:$EA$40,MATCH(U$202,$BI$36:$EA$36,0)),"")</f>
        <v/>
      </c>
      <c r="V206">
        <f>IFERROR(INDEX($BI$40:$EA$40,MATCH(V$202,$BI$36:$EA$36,0)),"")</f>
        <v/>
      </c>
      <c r="W206">
        <f>IFERROR(INDEX($BI$40:$EA$40,MATCH(W$202,$BI$36:$EA$36,0)),"")</f>
        <v/>
      </c>
      <c r="X206">
        <f>IFERROR(INDEX($BI$40:$EA$40,MATCH(X$202,$BI$36:$EA$36,0)),"")</f>
        <v/>
      </c>
    </row>
    <row r="207">
      <c r="N207" t="n">
        <v>6</v>
      </c>
      <c r="O207">
        <f>IFERROR(INDEX($BI$41:$EA$41,MATCH(O$202,$BI$36:$EA$36,0)),"")</f>
        <v/>
      </c>
      <c r="P207">
        <f>IFERROR(INDEX($BI$41:$EA$41,MATCH(P$202,$BI$36:$EA$36,0)),"")</f>
        <v/>
      </c>
      <c r="Q207">
        <f>IFERROR(INDEX($BI$41:$EA$41,MATCH(Q$202,$BI$36:$EA$36,0)),"")</f>
        <v/>
      </c>
      <c r="R207">
        <f>IFERROR(INDEX($BI$41:$EA$41,MATCH(R$202,$BI$36:$EA$36,0)),"")</f>
        <v/>
      </c>
      <c r="S207">
        <f>IFERROR(INDEX($BI$41:$EA$41,MATCH(S$202,$BI$36:$EA$36,0)),"")</f>
        <v/>
      </c>
      <c r="T207">
        <f>IFERROR(INDEX($BI$41:$EA$41,MATCH(T$202,$BI$36:$EA$36,0)),"")</f>
        <v/>
      </c>
      <c r="U207">
        <f>IFERROR(INDEX($BI$41:$EA$41,MATCH(U$202,$BI$36:$EA$36,0)),"")</f>
        <v/>
      </c>
      <c r="V207">
        <f>IFERROR(INDEX($BI$41:$EA$41,MATCH(V$202,$BI$36:$EA$36,0)),"")</f>
        <v/>
      </c>
      <c r="W207">
        <f>IFERROR(INDEX($BI$41:$EA$41,MATCH(W$202,$BI$36:$EA$36,0)),"")</f>
        <v/>
      </c>
      <c r="X207">
        <f>IFERROR(INDEX($BI$41:$EA$41,MATCH(X$202,$BI$36:$EA$36,0)),"")</f>
        <v/>
      </c>
    </row>
    <row r="208">
      <c r="N208" t="n">
        <v>7</v>
      </c>
      <c r="O208">
        <f>IFERROR(INDEX($BI$42:$EA$42,MATCH(O$202,$BI$36:$EA$36,0)),"")</f>
        <v/>
      </c>
      <c r="P208">
        <f>IFERROR(INDEX($BI$42:$EA$42,MATCH(P$202,$BI$36:$EA$36,0)),"")</f>
        <v/>
      </c>
      <c r="Q208">
        <f>IFERROR(INDEX($BI$42:$EA$42,MATCH(Q$202,$BI$36:$EA$36,0)),"")</f>
        <v/>
      </c>
      <c r="R208">
        <f>IFERROR(INDEX($BI$42:$EA$42,MATCH(R$202,$BI$36:$EA$36,0)),"")</f>
        <v/>
      </c>
      <c r="S208">
        <f>IFERROR(INDEX($BI$42:$EA$42,MATCH(S$202,$BI$36:$EA$36,0)),"")</f>
        <v/>
      </c>
      <c r="T208">
        <f>IFERROR(INDEX($BI$42:$EA$42,MATCH(T$202,$BI$36:$EA$36,0)),"")</f>
        <v/>
      </c>
      <c r="U208">
        <f>IFERROR(INDEX($BI$42:$EA$42,MATCH(U$202,$BI$36:$EA$36,0)),"")</f>
        <v/>
      </c>
      <c r="V208">
        <f>IFERROR(INDEX($BI$42:$EA$42,MATCH(V$202,$BI$36:$EA$36,0)),"")</f>
        <v/>
      </c>
      <c r="W208">
        <f>IFERROR(INDEX($BI$42:$EA$42,MATCH(W$202,$BI$36:$EA$36,0)),"")</f>
        <v/>
      </c>
      <c r="X208">
        <f>IFERROR(INDEX($BI$42:$EA$42,MATCH(X$202,$BI$36:$EA$36,0)),"")</f>
        <v/>
      </c>
    </row>
    <row r="209">
      <c r="N209" t="n">
        <v>8</v>
      </c>
      <c r="O209">
        <f>IFERROR(INDEX($BI$43:$EA$43,MATCH(O$202,$BI$36:$EA$36,0)),"")</f>
        <v/>
      </c>
      <c r="P209">
        <f>IFERROR(INDEX($BI$43:$EA$43,MATCH(P$202,$BI$36:$EA$36,0)),"")</f>
        <v/>
      </c>
      <c r="Q209">
        <f>IFERROR(INDEX($BI$43:$EA$43,MATCH(Q$202,$BI$36:$EA$36,0)),"")</f>
        <v/>
      </c>
      <c r="R209">
        <f>IFERROR(INDEX($BI$43:$EA$43,MATCH(R$202,$BI$36:$EA$36,0)),"")</f>
        <v/>
      </c>
      <c r="S209">
        <f>IFERROR(INDEX($BI$43:$EA$43,MATCH(S$202,$BI$36:$EA$36,0)),"")</f>
        <v/>
      </c>
      <c r="T209">
        <f>IFERROR(INDEX($BI$43:$EA$43,MATCH(T$202,$BI$36:$EA$36,0)),"")</f>
        <v/>
      </c>
      <c r="U209">
        <f>IFERROR(INDEX($BI$43:$EA$43,MATCH(U$202,$BI$36:$EA$36,0)),"")</f>
        <v/>
      </c>
      <c r="V209">
        <f>IFERROR(INDEX($BI$43:$EA$43,MATCH(V$202,$BI$36:$EA$36,0)),"")</f>
        <v/>
      </c>
      <c r="W209">
        <f>IFERROR(INDEX($BI$43:$EA$43,MATCH(W$202,$BI$36:$EA$36,0)),"")</f>
        <v/>
      </c>
      <c r="X209">
        <f>IFERROR(INDEX($BI$43:$EA$43,MATCH(X$202,$BI$36:$EA$36,0)),"")</f>
        <v/>
      </c>
    </row>
    <row r="232">
      <c r="N232" s="75" t="inlineStr">
        <is>
          <t>DATA 8 — $/mi vs discount rate = market opportunity cost (selected cars)</t>
        </is>
      </c>
    </row>
    <row r="233">
      <c r="N233" s="24" t="inlineStr">
        <is>
          <t>Discount rate</t>
        </is>
      </c>
      <c r="O233">
        <f>Charts!$A$4</f>
        <v/>
      </c>
      <c r="P233">
        <f>Charts!$A$5</f>
        <v/>
      </c>
      <c r="Q233">
        <f>Charts!$A$6</f>
        <v/>
      </c>
      <c r="R233">
        <f>Charts!$A$7</f>
        <v/>
      </c>
      <c r="S233">
        <f>Charts!$A$8</f>
        <v/>
      </c>
      <c r="T233">
        <f>Charts!$A$9</f>
        <v/>
      </c>
      <c r="U233">
        <f>Charts!$A$10</f>
        <v/>
      </c>
      <c r="V233">
        <f>Charts!$A$11</f>
        <v/>
      </c>
      <c r="W233">
        <f>Charts!$A$12</f>
        <v/>
      </c>
      <c r="X233">
        <f>Charts!$A$13</f>
        <v/>
      </c>
    </row>
    <row r="234">
      <c r="N234" t="n">
        <v>0.03</v>
      </c>
      <c r="O234">
        <f>IFERROR(INDEX($BI$119:$EA$119,MATCH(O$233,$BI$118:$EA$118,0)),"")</f>
        <v/>
      </c>
      <c r="P234">
        <f>IFERROR(INDEX($BI$119:$EA$119,MATCH(P$233,$BI$118:$EA$118,0)),"")</f>
        <v/>
      </c>
      <c r="Q234">
        <f>IFERROR(INDEX($BI$119:$EA$119,MATCH(Q$233,$BI$118:$EA$118,0)),"")</f>
        <v/>
      </c>
      <c r="R234">
        <f>IFERROR(INDEX($BI$119:$EA$119,MATCH(R$233,$BI$118:$EA$118,0)),"")</f>
        <v/>
      </c>
      <c r="S234">
        <f>IFERROR(INDEX($BI$119:$EA$119,MATCH(S$233,$BI$118:$EA$118,0)),"")</f>
        <v/>
      </c>
      <c r="T234">
        <f>IFERROR(INDEX($BI$119:$EA$119,MATCH(T$233,$BI$118:$EA$118,0)),"")</f>
        <v/>
      </c>
      <c r="U234">
        <f>IFERROR(INDEX($BI$119:$EA$119,MATCH(U$233,$BI$118:$EA$118,0)),"")</f>
        <v/>
      </c>
      <c r="V234">
        <f>IFERROR(INDEX($BI$119:$EA$119,MATCH(V$233,$BI$118:$EA$118,0)),"")</f>
        <v/>
      </c>
      <c r="W234">
        <f>IFERROR(INDEX($BI$119:$EA$119,MATCH(W$233,$BI$118:$EA$118,0)),"")</f>
        <v/>
      </c>
      <c r="X234">
        <f>IFERROR(INDEX($BI$119:$EA$119,MATCH(X$233,$BI$118:$EA$118,0)),"")</f>
        <v/>
      </c>
    </row>
    <row r="235">
      <c r="N235" t="n">
        <v>0.04</v>
      </c>
      <c r="O235">
        <f>IFERROR(INDEX($BI$120:$EA$120,MATCH(O$233,$BI$118:$EA$118,0)),"")</f>
        <v/>
      </c>
      <c r="P235">
        <f>IFERROR(INDEX($BI$120:$EA$120,MATCH(P$233,$BI$118:$EA$118,0)),"")</f>
        <v/>
      </c>
      <c r="Q235">
        <f>IFERROR(INDEX($BI$120:$EA$120,MATCH(Q$233,$BI$118:$EA$118,0)),"")</f>
        <v/>
      </c>
      <c r="R235">
        <f>IFERROR(INDEX($BI$120:$EA$120,MATCH(R$233,$BI$118:$EA$118,0)),"")</f>
        <v/>
      </c>
      <c r="S235">
        <f>IFERROR(INDEX($BI$120:$EA$120,MATCH(S$233,$BI$118:$EA$118,0)),"")</f>
        <v/>
      </c>
      <c r="T235">
        <f>IFERROR(INDEX($BI$120:$EA$120,MATCH(T$233,$BI$118:$EA$118,0)),"")</f>
        <v/>
      </c>
      <c r="U235">
        <f>IFERROR(INDEX($BI$120:$EA$120,MATCH(U$233,$BI$118:$EA$118,0)),"")</f>
        <v/>
      </c>
      <c r="V235">
        <f>IFERROR(INDEX($BI$120:$EA$120,MATCH(V$233,$BI$118:$EA$118,0)),"")</f>
        <v/>
      </c>
      <c r="W235">
        <f>IFERROR(INDEX($BI$120:$EA$120,MATCH(W$233,$BI$118:$EA$118,0)),"")</f>
        <v/>
      </c>
      <c r="X235">
        <f>IFERROR(INDEX($BI$120:$EA$120,MATCH(X$233,$BI$118:$EA$118,0)),"")</f>
        <v/>
      </c>
    </row>
    <row r="236">
      <c r="N236" t="n">
        <v>0.05</v>
      </c>
      <c r="O236">
        <f>IFERROR(INDEX($BI$121:$EA$121,MATCH(O$233,$BI$118:$EA$118,0)),"")</f>
        <v/>
      </c>
      <c r="P236">
        <f>IFERROR(INDEX($BI$121:$EA$121,MATCH(P$233,$BI$118:$EA$118,0)),"")</f>
        <v/>
      </c>
      <c r="Q236">
        <f>IFERROR(INDEX($BI$121:$EA$121,MATCH(Q$233,$BI$118:$EA$118,0)),"")</f>
        <v/>
      </c>
      <c r="R236">
        <f>IFERROR(INDEX($BI$121:$EA$121,MATCH(R$233,$BI$118:$EA$118,0)),"")</f>
        <v/>
      </c>
      <c r="S236">
        <f>IFERROR(INDEX($BI$121:$EA$121,MATCH(S$233,$BI$118:$EA$118,0)),"")</f>
        <v/>
      </c>
      <c r="T236">
        <f>IFERROR(INDEX($BI$121:$EA$121,MATCH(T$233,$BI$118:$EA$118,0)),"")</f>
        <v/>
      </c>
      <c r="U236">
        <f>IFERROR(INDEX($BI$121:$EA$121,MATCH(U$233,$BI$118:$EA$118,0)),"")</f>
        <v/>
      </c>
      <c r="V236">
        <f>IFERROR(INDEX($BI$121:$EA$121,MATCH(V$233,$BI$118:$EA$118,0)),"")</f>
        <v/>
      </c>
      <c r="W236">
        <f>IFERROR(INDEX($BI$121:$EA$121,MATCH(W$233,$BI$118:$EA$118,0)),"")</f>
        <v/>
      </c>
      <c r="X236">
        <f>IFERROR(INDEX($BI$121:$EA$121,MATCH(X$233,$BI$118:$EA$118,0)),"")</f>
        <v/>
      </c>
    </row>
    <row r="237">
      <c r="N237" t="n">
        <v>0.06</v>
      </c>
      <c r="O237">
        <f>IFERROR(INDEX($BI$122:$EA$122,MATCH(O$233,$BI$118:$EA$118,0)),"")</f>
        <v/>
      </c>
      <c r="P237">
        <f>IFERROR(INDEX($BI$122:$EA$122,MATCH(P$233,$BI$118:$EA$118,0)),"")</f>
        <v/>
      </c>
      <c r="Q237">
        <f>IFERROR(INDEX($BI$122:$EA$122,MATCH(Q$233,$BI$118:$EA$118,0)),"")</f>
        <v/>
      </c>
      <c r="R237">
        <f>IFERROR(INDEX($BI$122:$EA$122,MATCH(R$233,$BI$118:$EA$118,0)),"")</f>
        <v/>
      </c>
      <c r="S237">
        <f>IFERROR(INDEX($BI$122:$EA$122,MATCH(S$233,$BI$118:$EA$118,0)),"")</f>
        <v/>
      </c>
      <c r="T237">
        <f>IFERROR(INDEX($BI$122:$EA$122,MATCH(T$233,$BI$118:$EA$118,0)),"")</f>
        <v/>
      </c>
      <c r="U237">
        <f>IFERROR(INDEX($BI$122:$EA$122,MATCH(U$233,$BI$118:$EA$118,0)),"")</f>
        <v/>
      </c>
      <c r="V237">
        <f>IFERROR(INDEX($BI$122:$EA$122,MATCH(V$233,$BI$118:$EA$118,0)),"")</f>
        <v/>
      </c>
      <c r="W237">
        <f>IFERROR(INDEX($BI$122:$EA$122,MATCH(W$233,$BI$118:$EA$118,0)),"")</f>
        <v/>
      </c>
      <c r="X237">
        <f>IFERROR(INDEX($BI$122:$EA$122,MATCH(X$233,$BI$118:$EA$118,0)),"")</f>
        <v/>
      </c>
    </row>
    <row r="238">
      <c r="N238" t="n">
        <v>0.07000000000000001</v>
      </c>
      <c r="O238">
        <f>IFERROR(INDEX($BI$123:$EA$123,MATCH(O$233,$BI$118:$EA$118,0)),"")</f>
        <v/>
      </c>
      <c r="P238">
        <f>IFERROR(INDEX($BI$123:$EA$123,MATCH(P$233,$BI$118:$EA$118,0)),"")</f>
        <v/>
      </c>
      <c r="Q238">
        <f>IFERROR(INDEX($BI$123:$EA$123,MATCH(Q$233,$BI$118:$EA$118,0)),"")</f>
        <v/>
      </c>
      <c r="R238">
        <f>IFERROR(INDEX($BI$123:$EA$123,MATCH(R$233,$BI$118:$EA$118,0)),"")</f>
        <v/>
      </c>
      <c r="S238">
        <f>IFERROR(INDEX($BI$123:$EA$123,MATCH(S$233,$BI$118:$EA$118,0)),"")</f>
        <v/>
      </c>
      <c r="T238">
        <f>IFERROR(INDEX($BI$123:$EA$123,MATCH(T$233,$BI$118:$EA$118,0)),"")</f>
        <v/>
      </c>
      <c r="U238">
        <f>IFERROR(INDEX($BI$123:$EA$123,MATCH(U$233,$BI$118:$EA$118,0)),"")</f>
        <v/>
      </c>
      <c r="V238">
        <f>IFERROR(INDEX($BI$123:$EA$123,MATCH(V$233,$BI$118:$EA$118,0)),"")</f>
        <v/>
      </c>
      <c r="W238">
        <f>IFERROR(INDEX($BI$123:$EA$123,MATCH(W$233,$BI$118:$EA$118,0)),"")</f>
        <v/>
      </c>
      <c r="X238">
        <f>IFERROR(INDEX($BI$123:$EA$123,MATCH(X$233,$BI$118:$EA$118,0)),"")</f>
        <v/>
      </c>
    </row>
    <row r="239">
      <c r="N239" t="n">
        <v>0.08</v>
      </c>
      <c r="O239">
        <f>IFERROR(INDEX($BI$124:$EA$124,MATCH(O$233,$BI$118:$EA$118,0)),"")</f>
        <v/>
      </c>
      <c r="P239">
        <f>IFERROR(INDEX($BI$124:$EA$124,MATCH(P$233,$BI$118:$EA$118,0)),"")</f>
        <v/>
      </c>
      <c r="Q239">
        <f>IFERROR(INDEX($BI$124:$EA$124,MATCH(Q$233,$BI$118:$EA$118,0)),"")</f>
        <v/>
      </c>
      <c r="R239">
        <f>IFERROR(INDEX($BI$124:$EA$124,MATCH(R$233,$BI$118:$EA$118,0)),"")</f>
        <v/>
      </c>
      <c r="S239">
        <f>IFERROR(INDEX($BI$124:$EA$124,MATCH(S$233,$BI$118:$EA$118,0)),"")</f>
        <v/>
      </c>
      <c r="T239">
        <f>IFERROR(INDEX($BI$124:$EA$124,MATCH(T$233,$BI$118:$EA$118,0)),"")</f>
        <v/>
      </c>
      <c r="U239">
        <f>IFERROR(INDEX($BI$124:$EA$124,MATCH(U$233,$BI$118:$EA$118,0)),"")</f>
        <v/>
      </c>
      <c r="V239">
        <f>IFERROR(INDEX($BI$124:$EA$124,MATCH(V$233,$BI$118:$EA$118,0)),"")</f>
        <v/>
      </c>
      <c r="W239">
        <f>IFERROR(INDEX($BI$124:$EA$124,MATCH(W$233,$BI$118:$EA$118,0)),"")</f>
        <v/>
      </c>
      <c r="X239">
        <f>IFERROR(INDEX($BI$124:$EA$124,MATCH(X$233,$BI$118:$EA$118,0)),"")</f>
        <v/>
      </c>
    </row>
    <row r="240">
      <c r="N240" t="n">
        <v>0.09</v>
      </c>
      <c r="O240">
        <f>IFERROR(INDEX($BI$125:$EA$125,MATCH(O$233,$BI$118:$EA$118,0)),"")</f>
        <v/>
      </c>
      <c r="P240">
        <f>IFERROR(INDEX($BI$125:$EA$125,MATCH(P$233,$BI$118:$EA$118,0)),"")</f>
        <v/>
      </c>
      <c r="Q240">
        <f>IFERROR(INDEX($BI$125:$EA$125,MATCH(Q$233,$BI$118:$EA$118,0)),"")</f>
        <v/>
      </c>
      <c r="R240">
        <f>IFERROR(INDEX($BI$125:$EA$125,MATCH(R$233,$BI$118:$EA$118,0)),"")</f>
        <v/>
      </c>
      <c r="S240">
        <f>IFERROR(INDEX($BI$125:$EA$125,MATCH(S$233,$BI$118:$EA$118,0)),"")</f>
        <v/>
      </c>
      <c r="T240">
        <f>IFERROR(INDEX($BI$125:$EA$125,MATCH(T$233,$BI$118:$EA$118,0)),"")</f>
        <v/>
      </c>
      <c r="U240">
        <f>IFERROR(INDEX($BI$125:$EA$125,MATCH(U$233,$BI$118:$EA$118,0)),"")</f>
        <v/>
      </c>
      <c r="V240">
        <f>IFERROR(INDEX($BI$125:$EA$125,MATCH(V$233,$BI$118:$EA$118,0)),"")</f>
        <v/>
      </c>
      <c r="W240">
        <f>IFERROR(INDEX($BI$125:$EA$125,MATCH(W$233,$BI$118:$EA$118,0)),"")</f>
        <v/>
      </c>
      <c r="X240">
        <f>IFERROR(INDEX($BI$125:$EA$125,MATCH(X$233,$BI$118:$EA$118,0)),"")</f>
        <v/>
      </c>
    </row>
    <row r="241">
      <c r="N241" t="n">
        <v>0.1</v>
      </c>
      <c r="O241">
        <f>IFERROR(INDEX($BI$126:$EA$126,MATCH(O$233,$BI$118:$EA$118,0)),"")</f>
        <v/>
      </c>
      <c r="P241">
        <f>IFERROR(INDEX($BI$126:$EA$126,MATCH(P$233,$BI$118:$EA$118,0)),"")</f>
        <v/>
      </c>
      <c r="Q241">
        <f>IFERROR(INDEX($BI$126:$EA$126,MATCH(Q$233,$BI$118:$EA$118,0)),"")</f>
        <v/>
      </c>
      <c r="R241">
        <f>IFERROR(INDEX($BI$126:$EA$126,MATCH(R$233,$BI$118:$EA$118,0)),"")</f>
        <v/>
      </c>
      <c r="S241">
        <f>IFERROR(INDEX($BI$126:$EA$126,MATCH(S$233,$BI$118:$EA$118,0)),"")</f>
        <v/>
      </c>
      <c r="T241">
        <f>IFERROR(INDEX($BI$126:$EA$126,MATCH(T$233,$BI$118:$EA$118,0)),"")</f>
        <v/>
      </c>
      <c r="U241">
        <f>IFERROR(INDEX($BI$126:$EA$126,MATCH(U$233,$BI$118:$EA$118,0)),"")</f>
        <v/>
      </c>
      <c r="V241">
        <f>IFERROR(INDEX($BI$126:$EA$126,MATCH(V$233,$BI$118:$EA$118,0)),"")</f>
        <v/>
      </c>
      <c r="W241">
        <f>IFERROR(INDEX($BI$126:$EA$126,MATCH(W$233,$BI$118:$EA$118,0)),"")</f>
        <v/>
      </c>
      <c r="X241">
        <f>IFERROR(INDEX($BI$126:$EA$126,MATCH(X$233,$BI$118:$EA$118,0)),"")</f>
        <v/>
      </c>
    </row>
    <row r="242">
      <c r="N242" t="n">
        <v>0.11</v>
      </c>
      <c r="O242">
        <f>IFERROR(INDEX($BI$127:$EA$127,MATCH(O$233,$BI$118:$EA$118,0)),"")</f>
        <v/>
      </c>
      <c r="P242">
        <f>IFERROR(INDEX($BI$127:$EA$127,MATCH(P$233,$BI$118:$EA$118,0)),"")</f>
        <v/>
      </c>
      <c r="Q242">
        <f>IFERROR(INDEX($BI$127:$EA$127,MATCH(Q$233,$BI$118:$EA$118,0)),"")</f>
        <v/>
      </c>
      <c r="R242">
        <f>IFERROR(INDEX($BI$127:$EA$127,MATCH(R$233,$BI$118:$EA$118,0)),"")</f>
        <v/>
      </c>
      <c r="S242">
        <f>IFERROR(INDEX($BI$127:$EA$127,MATCH(S$233,$BI$118:$EA$118,0)),"")</f>
        <v/>
      </c>
      <c r="T242">
        <f>IFERROR(INDEX($BI$127:$EA$127,MATCH(T$233,$BI$118:$EA$118,0)),"")</f>
        <v/>
      </c>
      <c r="U242">
        <f>IFERROR(INDEX($BI$127:$EA$127,MATCH(U$233,$BI$118:$EA$118,0)),"")</f>
        <v/>
      </c>
      <c r="V242">
        <f>IFERROR(INDEX($BI$127:$EA$127,MATCH(V$233,$BI$118:$EA$118,0)),"")</f>
        <v/>
      </c>
      <c r="W242">
        <f>IFERROR(INDEX($BI$127:$EA$127,MATCH(W$233,$BI$118:$EA$118,0)),"")</f>
        <v/>
      </c>
      <c r="X242">
        <f>IFERROR(INDEX($BI$127:$EA$127,MATCH(X$233,$BI$118:$EA$118,0)),"")</f>
        <v/>
      </c>
    </row>
    <row r="243">
      <c r="N243" t="n">
        <v>0.12</v>
      </c>
      <c r="O243">
        <f>IFERROR(INDEX($BI$128:$EA$128,MATCH(O$233,$BI$118:$EA$118,0)),"")</f>
        <v/>
      </c>
      <c r="P243">
        <f>IFERROR(INDEX($BI$128:$EA$128,MATCH(P$233,$BI$118:$EA$118,0)),"")</f>
        <v/>
      </c>
      <c r="Q243">
        <f>IFERROR(INDEX($BI$128:$EA$128,MATCH(Q$233,$BI$118:$EA$118,0)),"")</f>
        <v/>
      </c>
      <c r="R243">
        <f>IFERROR(INDEX($BI$128:$EA$128,MATCH(R$233,$BI$118:$EA$118,0)),"")</f>
        <v/>
      </c>
      <c r="S243">
        <f>IFERROR(INDEX($BI$128:$EA$128,MATCH(S$233,$BI$118:$EA$118,0)),"")</f>
        <v/>
      </c>
      <c r="T243">
        <f>IFERROR(INDEX($BI$128:$EA$128,MATCH(T$233,$BI$118:$EA$118,0)),"")</f>
        <v/>
      </c>
      <c r="U243">
        <f>IFERROR(INDEX($BI$128:$EA$128,MATCH(U$233,$BI$118:$EA$118,0)),"")</f>
        <v/>
      </c>
      <c r="V243">
        <f>IFERROR(INDEX($BI$128:$EA$128,MATCH(V$233,$BI$118:$EA$118,0)),"")</f>
        <v/>
      </c>
      <c r="W243">
        <f>IFERROR(INDEX($BI$128:$EA$128,MATCH(W$233,$BI$118:$EA$118,0)),"")</f>
        <v/>
      </c>
      <c r="X243">
        <f>IFERROR(INDEX($BI$128:$EA$128,MATCH(X$233,$BI$118:$EA$118,0)),"")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2026-07-27T15:41:27Z</dcterms:created>
  <dcterms:modified xmlns:dcterms="http://purl.org/dc/terms/" xmlns:xsi="http://www.w3.org/2001/XMLSchema-instance" xsi:type="dcterms:W3CDTF">2026-07-27T15:41:27Z</dcterms:modified>
</cp:coreProperties>
</file>